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X:\OPN weekly publication\OPN164_165\Final Tables\reupload\"/>
    </mc:Choice>
  </mc:AlternateContent>
  <xr:revisionPtr revIDLastSave="0" documentId="8_{404702AE-70C5-466D-9BDA-A15B0556159E}" xr6:coauthVersionLast="47" xr6:coauthVersionMax="47" xr10:uidLastSave="{00000000-0000-0000-0000-000000000000}"/>
  <bookViews>
    <workbookView xWindow="-108" yWindow="-108" windowWidth="23256" windowHeight="12456" xr2:uid="{00000000-000D-0000-FFFF-FFFF00000000}"/>
  </bookViews>
  <sheets>
    <sheet name="Cover" sheetId="1" r:id="rId1"/>
    <sheet name="Contents" sheetId="2" r:id="rId2"/>
    <sheet name="Notes" sheetId="3" r:id="rId3"/>
    <sheet name="Table_1" sheetId="4" r:id="rId4"/>
    <sheet name="Table_2" sheetId="5" r:id="rId5"/>
    <sheet name="Table_3" sheetId="6" r:id="rId6"/>
    <sheet name="Table_4" sheetId="7" r:id="rId7"/>
    <sheet name="Table_5" sheetId="8" r:id="rId8"/>
    <sheet name="Table_6" sheetId="9" r:id="rId9"/>
    <sheet name="Table_7" sheetId="10" r:id="rId10"/>
    <sheet name="Table_8" sheetId="11" r:id="rId11"/>
    <sheet name="Table_9" sheetId="12" r:id="rId12"/>
    <sheet name="Table_10" sheetId="13" r:id="rId13"/>
    <sheet name="Table_11" sheetId="1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 l="1"/>
  <c r="A5" i="5"/>
  <c r="A5" i="6"/>
  <c r="A5" i="7"/>
  <c r="A5" i="8"/>
  <c r="A6" i="9"/>
  <c r="A6" i="10"/>
  <c r="A5" i="11"/>
  <c r="A5" i="12"/>
  <c r="A5" i="13"/>
  <c r="A6" i="14"/>
  <c r="A7" i="14"/>
  <c r="A6" i="13"/>
  <c r="A6" i="12"/>
  <c r="A6" i="11"/>
  <c r="A7" i="10"/>
  <c r="A7" i="9"/>
  <c r="A6" i="8"/>
  <c r="A6" i="7"/>
  <c r="A6" i="6"/>
  <c r="A6" i="5"/>
  <c r="A6" i="4"/>
  <c r="A3" i="3"/>
  <c r="C16" i="2"/>
  <c r="C15" i="2"/>
  <c r="C14" i="2"/>
  <c r="C13" i="2"/>
  <c r="C12" i="2"/>
  <c r="C11" i="2"/>
  <c r="C10" i="2"/>
  <c r="C9" i="2"/>
  <c r="C8" i="2"/>
  <c r="C7" i="2"/>
  <c r="C6" i="2"/>
  <c r="C5" i="2"/>
  <c r="C4" i="2"/>
</calcChain>
</file>

<file path=xl/sharedStrings.xml><?xml version="1.0" encoding="utf-8"?>
<sst xmlns="http://schemas.openxmlformats.org/spreadsheetml/2006/main" count="2013" uniqueCount="176">
  <si>
    <t xml:space="preserve">Public opinions and social trends, Great Britain: mental health, 2 to 27 April 2025 </t>
  </si>
  <si>
    <t>Source: Opinions and Lifestyle Survey from the Office for National Statistics</t>
  </si>
  <si>
    <t>Date published: 16 May 2025</t>
  </si>
  <si>
    <t>This spreadsheet is published alongside the bulletin:</t>
  </si>
  <si>
    <t>Public opinions and social trends, Great Britain: April 2025</t>
  </si>
  <si>
    <t>Statistical contact</t>
  </si>
  <si>
    <t>Public Policy and Social Insights team</t>
  </si>
  <si>
    <t>Policy.Evidence.Analysis@ons.gov.uk</t>
  </si>
  <si>
    <t>Media contact</t>
  </si>
  <si>
    <t>+44 (0)203 973 4761</t>
  </si>
  <si>
    <t>Media.Relations@ons.gov.uk</t>
  </si>
  <si>
    <t>Coverage</t>
  </si>
  <si>
    <t>The sample consists of individuals aged 16 years and over living in Great Britain. Questions were asked to all responding adults unless specified otherwise. From 17 April 2020 onwards the Opinions and Lifestyle Survey has been running online and via the telephone. 
The latest estimates included in this workbook are based on data collected between 2 to 27 April 2025.</t>
  </si>
  <si>
    <t>Survey changes</t>
  </si>
  <si>
    <t>Related Data page</t>
  </si>
  <si>
    <t>Lower confidence level (LCL), upper confidence level (UCL)</t>
  </si>
  <si>
    <t xml:space="preserve">Refer to lower and upper 95% confidence intervals, respectively.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Differences should be considered alongside confidence intervals provided. The statistical significance of differences noted within the release are determined based on non-overlapping confidence intervals.
Lower confidence intervals that round to less than 1 or are negative are indicated with a zero. </t>
  </si>
  <si>
    <t>Weighted count</t>
  </si>
  <si>
    <t>In order to make the sample of a survey representative of the population, responses are weighted. 'Weighted count' provides the representative count for each breakdown; this also takes into account survey design and non-response. Further information on weighting can be found in:</t>
  </si>
  <si>
    <t>Opinions and Lifestyle Survey QMI</t>
  </si>
  <si>
    <t>Sample size</t>
  </si>
  <si>
    <t xml:space="preserve">This refers to the total number of respondents for each breakdown. Please note this refers to the total number who responded to each question rounded to the nearest 10, rather than the number who provided each response category. Estimates based on sample sizes of 30 or fewer respondents should be treated with caution. </t>
  </si>
  <si>
    <t>Missing data</t>
  </si>
  <si>
    <t>There are cases in which respondents do not answer a specific question. Where this happens, they have been excluded from the analysis.</t>
  </si>
  <si>
    <t>Multiple response questions</t>
  </si>
  <si>
    <t>Unless stated on the particular data table, the respondent may only choose one option. Questions where the respondent may choose multiple options are indicated on the data tables.</t>
  </si>
  <si>
    <t>Rounding</t>
  </si>
  <si>
    <t>All estimates in this spreadsheet are individually rounded to whole numbers; with the exception of the mean scores in tables 4 and 9 which are rounded to 1 decimal point. Estimates, weighted counts and sample sizes may not sum due to rounding. In some cases, due to rounding, an estimate and its confidence intervals may appear to be the same.</t>
  </si>
  <si>
    <t>Suppression and shorthand</t>
  </si>
  <si>
    <t>Some shorthand may be used in this workbook. Individual estimates suppressed with "[c]" relate to statistics based on a small number of respondents (less than 3). Such values have been suppressed on quality grounds and to maintain confidentiality. Individual estimates suppressed with "[w]" relate to when no people are estimated to be in a category.  
Where the sample size for an entire question, or breakdown thereof is based on 10 or fewer respondents when rounded to the nearest 10, estimates have been suppressed with "[u]" due to low reliability of estimates.
Where data are not available for a reference period (for example, where a question was not asked), values have been replaced with "[x]".
Where there is a break in the time series and data before this period cannot be directly compared with data after the break, this is indicated by "[b]".
Individual estimates indicated as [low] relate to an estimate that is less than 1, but not zero. In previous releases of this dataset this was indicated by '&lt;1'. Individual estimates indicated as [high] relate to an estimate that is more than 99. In previous releases of this dataset this was indicated by '&gt;99'.
For more information on this shorthand used, see the Government Statistical Service guidance on:</t>
  </si>
  <si>
    <t>Using symbols and shorthand in tables</t>
  </si>
  <si>
    <t>OPN data</t>
  </si>
  <si>
    <t>The microdata are available through the UK Data Service.</t>
  </si>
  <si>
    <t>ONS Opinions and Lifestyle Survey, COVID-19 module</t>
  </si>
  <si>
    <t>Further information</t>
  </si>
  <si>
    <t>Opinions and Lifestyle Survey Quality and Methodology Information</t>
  </si>
  <si>
    <t xml:space="preserve">Table of contents </t>
  </si>
  <si>
    <t>This worksheet contains one table.</t>
  </si>
  <si>
    <t>Worksheet</t>
  </si>
  <si>
    <t>Worksheet_title</t>
  </si>
  <si>
    <t>Link to table</t>
  </si>
  <si>
    <t>Cover</t>
  </si>
  <si>
    <t>Cover sheet</t>
  </si>
  <si>
    <t>Notes</t>
  </si>
  <si>
    <t>Table_1</t>
  </si>
  <si>
    <t>Depression indicator</t>
  </si>
  <si>
    <t>Table_2</t>
  </si>
  <si>
    <t>Which of the following, if any, have you been worried about in the past two weeks?</t>
  </si>
  <si>
    <t>Table_3</t>
  </si>
  <si>
    <t>Over the past two weeks, which of these actions, if any, have you done to look after your well-being?</t>
  </si>
  <si>
    <t>Table_4</t>
  </si>
  <si>
    <t>On a scale of 0 to 10, where 0 is not at all and 10 is completely, in general how much do you trust most people? Mean estimate</t>
  </si>
  <si>
    <t>Table_5</t>
  </si>
  <si>
    <t>In general how much do you trust most people? Threshold estimate</t>
  </si>
  <si>
    <t>Table_6</t>
  </si>
  <si>
    <t>To what extent do you agree or disagree with the statement?  “I feel like I belong to this neighbourhood”</t>
  </si>
  <si>
    <t>Table_7</t>
  </si>
  <si>
    <t>To what extent do you agree or disagree with the statement? “I can rely on the people in my life if I have a serious problem”</t>
  </si>
  <si>
    <t>Table_8</t>
  </si>
  <si>
    <t>Thinking about the well-being of your community, what do you think is most important?  By community we mean a group that you feel a part of.</t>
  </si>
  <si>
    <t>Table_9</t>
  </si>
  <si>
    <t>Overall, how hopeful do you feel about your future, where 0 is 'not at all hopeful' and 10 is 'completely hopeful'?</t>
  </si>
  <si>
    <t>Table_10</t>
  </si>
  <si>
    <t>Overall, how hopeful do you feel about your future?</t>
  </si>
  <si>
    <t>Table_11</t>
  </si>
  <si>
    <t>And how often do you feel lonely?</t>
  </si>
  <si>
    <t xml:space="preserve">Notes </t>
  </si>
  <si>
    <t>Note number</t>
  </si>
  <si>
    <t>Note text</t>
  </si>
  <si>
    <t>Respondents were asked the following questions from the eight-item Patient Health Questionnaire (PHQ-8) screener, with four response options ranging from 0 (Not at all) to 3 (Nearly every day):
    a. Over the last two weeks, how often have you been bothered by having little interest or pleasure in doing things?
    b. Over the last two weeks, how often have you been bothered by feeling down, depressed or hopeless?
    c. Over the last two weeks, how often have you been bothered by having trouble falling or staying asleep, or sleeping too much?
    d. Over the last two weeks, how often have you been bothered by feeling tired or having little energy?
    e. Over the last two weeks, how often have you been bothered by having a poor appetite or overeating?
    f. Over the last two weeks, how often have you been bothered by feeling negative about yourself or that you are a failure or have let yourself or your family down?
    g. Over the last two weeks, how often have you been bothered by having trouble concentrating on things, such as reading the newspaper or watching television?
    h. Over the last two weeks, how often have you been bothered by moving or speaking so slowly that other people could have noticed; or being so fidgety or restless that you have been moving around a lot more than usual?
A "depression score" was then derived by summing all responses chosen, resulting in a score ranging from 0 to 24. The higher the score, the greater the severity of depressive symptoms.
A person's PHQ-8 score sits in one of two categories:
    - no or mild symptoms -  this refers to a depression (PHQ-8) score of between 0 and 9 (inclusive)
    - moderate to severe symptoms - this refers to a depression (PHQ-8) score of between 10 and 24 (inclusive)
Respondents without a valid depression score were excluded from the analysis.</t>
  </si>
  <si>
    <t>https://www.phqscreeners.com/</t>
  </si>
  <si>
    <t xml:space="preserve">Respondents were able to choose more than one option. Responses were presented in a randomised order to mitigate ordering bias. </t>
  </si>
  <si>
    <t>A high trust score is where respondents have answered a score of 6 and above to the question: On a scale of 0 to 10, where 0 is not at all and 10 is completely, in general how much do you trust most people?</t>
  </si>
  <si>
    <t>Where individual answer categories for a question have been combined to provide an estimate, the total percentage may not sum exactly to the individual categories due to rounding.</t>
  </si>
  <si>
    <t>A high hopeful score is where respondents have answered a score of 6 and above to the question: Overall, how hopeful do you feel about your future, where 0 is 'not at all hopeful' and 10 is 'completely hopeful'?</t>
  </si>
  <si>
    <t>Depression indicator [note 1]</t>
  </si>
  <si>
    <t>Great Britain, 2 to 27 April 2025</t>
  </si>
  <si>
    <t>Some cells refer to notes which can be found on the Notes worksheet.</t>
  </si>
  <si>
    <t>To enable filters, select any cell within the table, then navigate to the "Data" tab on the ribbon, and click on the "Filter" button in the "Sort &amp; Filter" group. To apply a filter, click the filter icon in the column header of the data you wish to filter, then choose the desired criteria from the dropdown menu.</t>
  </si>
  <si>
    <t>Question: Depression Indicator</t>
  </si>
  <si>
    <t>Breakdown category</t>
  </si>
  <si>
    <t>Breakdown</t>
  </si>
  <si>
    <t>Response options</t>
  </si>
  <si>
    <t>Estimate (%)</t>
  </si>
  <si>
    <t>LCL</t>
  </si>
  <si>
    <t>UCL</t>
  </si>
  <si>
    <t>All persons</t>
  </si>
  <si>
    <t>All</t>
  </si>
  <si>
    <t>No or mild symptoms</t>
  </si>
  <si>
    <t>Moderate to severe symptoms</t>
  </si>
  <si>
    <t>Age bands</t>
  </si>
  <si>
    <t>16 to 29</t>
  </si>
  <si>
    <t>30 to 49</t>
  </si>
  <si>
    <t>50 to 69</t>
  </si>
  <si>
    <t>70 and over</t>
  </si>
  <si>
    <t>Sex</t>
  </si>
  <si>
    <t>Male</t>
  </si>
  <si>
    <t>Female</t>
  </si>
  <si>
    <t>Which of the following, if any, have you been worried about in the past two weeks? [note 1][note 2]</t>
  </si>
  <si>
    <t>Question: Which of the following, if any, have you been worried about in the past two weeks? This could include worries about yourself, your family or people around you</t>
  </si>
  <si>
    <t>Financial issues</t>
  </si>
  <si>
    <t>Health</t>
  </si>
  <si>
    <t>Employment or job security</t>
  </si>
  <si>
    <t>Education or schooling</t>
  </si>
  <si>
    <t>Housing or living conditions</t>
  </si>
  <si>
    <t>Relationships with family or friends</t>
  </si>
  <si>
    <t>Social or political issues</t>
  </si>
  <si>
    <t>Neighbourhood safety</t>
  </si>
  <si>
    <t>Climate change or environmental issues</t>
  </si>
  <si>
    <t>Other</t>
  </si>
  <si>
    <t>I have not had any worries in the past two weeks</t>
  </si>
  <si>
    <t>Over the past two weeks, which of these actions, if any, have you done to look after your well-being? [note 1][note 2]</t>
  </si>
  <si>
    <t>Question: Over the past two weeks, which of these actions, if any, have you done to look after your well-being?</t>
  </si>
  <si>
    <t>Been physically active</t>
  </si>
  <si>
    <t>Practiced relaxation techniques, including mindfulness</t>
  </si>
  <si>
    <t>Spent quality time with family or friends</t>
  </si>
  <si>
    <t>Spent time on hobbies</t>
  </si>
  <si>
    <t>Ate a balanced or healthy diet</t>
  </si>
  <si>
    <t>Sought help from a medical professional or counsellor</t>
  </si>
  <si>
    <t>Tried to get more sleep or rest</t>
  </si>
  <si>
    <t>Limited screen time or use of social media</t>
  </si>
  <si>
    <t>Took part in community or volunteering activities</t>
  </si>
  <si>
    <t>Spent time outdoors</t>
  </si>
  <si>
    <t>I have not taken any action in the past two weeks</t>
  </si>
  <si>
    <t>On a scale of 0 to 10, where 0 is not at all and 10 is completely, in general how much do you trust most people? Mean estimate [note 1][note 3]</t>
  </si>
  <si>
    <t>Question: On a scale of 0-10, where 0 is not at all, and 10 is completely, in general how much do you trust most people?</t>
  </si>
  <si>
    <t>Estimate (mean score out of 10)</t>
  </si>
  <si>
    <t>In general how much do you trust most people? Threshold estimate [note 1][note 3]</t>
  </si>
  <si>
    <t>Question: In general how much do you trust most people?</t>
  </si>
  <si>
    <t>High</t>
  </si>
  <si>
    <t>To what extent do you agree or disagree with the statement?  “I feel like I belong to this neighbourhood” [note 1]</t>
  </si>
  <si>
    <t>Blank cells indicate that there's no note in that row.</t>
  </si>
  <si>
    <t>Question: To what extent do you agree or disagree with the following statement? ‘I feel like I belong to this neighbourhood’</t>
  </si>
  <si>
    <t>Strongly agree</t>
  </si>
  <si>
    <t>Agree</t>
  </si>
  <si>
    <t>Neither agree nor disagree</t>
  </si>
  <si>
    <t>Disagree</t>
  </si>
  <si>
    <t>Strongly disagree</t>
  </si>
  <si>
    <t>Strongly agree or Agree</t>
  </si>
  <si>
    <t>[note 4]</t>
  </si>
  <si>
    <t>Disagree or Strongly disagree</t>
  </si>
  <si>
    <t>To what extent do you agree or disagree with the statement? “I can rely on the people in my life if I have a serious problem” [note 1]</t>
  </si>
  <si>
    <t>Question: To what extent do you agree or disagree with the statement? "I can rely on the people in my life if I have a serious problem"</t>
  </si>
  <si>
    <t>Strongly Agree or Agree</t>
  </si>
  <si>
    <t>[c]</t>
  </si>
  <si>
    <t>[low]</t>
  </si>
  <si>
    <t>Thinking about the well-being of your community, what do you think is most important?  By community we mean a group that you feel a part of. [note 1][note 2]</t>
  </si>
  <si>
    <t>Question: Thinking about the well-being of your community, what do you think is most important? By community we mean a group that you feel a part of</t>
  </si>
  <si>
    <t>Relationships and social support</t>
  </si>
  <si>
    <t>Trust between people</t>
  </si>
  <si>
    <t>Helping or giving support to the community</t>
  </si>
  <si>
    <t>Feeling safe</t>
  </si>
  <si>
    <t>Feeling that you belong</t>
  </si>
  <si>
    <t>Having your voice heard</t>
  </si>
  <si>
    <t>Having the facilities you need</t>
  </si>
  <si>
    <t>The quality of the environment and how it is cared for</t>
  </si>
  <si>
    <t>Everyone feeling they can be included</t>
  </si>
  <si>
    <t>Caring for future generations</t>
  </si>
  <si>
    <t>None of these</t>
  </si>
  <si>
    <t>Overall, how hopeful do you feel about your future, where 0 is 'not at all hopeful' and 10 is 'completely hopeful'? [note 1]</t>
  </si>
  <si>
    <t>Question: Overall, how hopeful do you feel about your future, where 0 is 'not at all hopeful' and 10 is 'completely hopeful'?</t>
  </si>
  <si>
    <t>Overall, how hopeful do you feel about your future? [note 1][note 5]</t>
  </si>
  <si>
    <t>Question: Overall, how hopeful do you feel about your future?</t>
  </si>
  <si>
    <t>And how often do you feel lonely? [note 1]</t>
  </si>
  <si>
    <t>Question: And how often do you feel lonely?</t>
  </si>
  <si>
    <t>Often or always</t>
  </si>
  <si>
    <t>Some of the time</t>
  </si>
  <si>
    <t>Occasionally</t>
  </si>
  <si>
    <t>Hardly ever</t>
  </si>
  <si>
    <t>Never</t>
  </si>
  <si>
    <t>Don't know</t>
  </si>
  <si>
    <t>Prefer not to say</t>
  </si>
  <si>
    <t>Often, always or some of the time</t>
  </si>
  <si>
    <t>Hardly ever or never</t>
  </si>
  <si>
    <t>[w]</t>
  </si>
  <si>
    <t>From the period 30 March 2020 to 10 April 2022, changes were made to the Opinions and Lifestyle Survey (OPN) to enable us to provide ongoing indicators on a wide range of public opinion and societal issues.
Changes were made to the OPN sample size and incentive to participate from this period which resulted in small changes to the responding sample. We therefore advise caution with comparing the latest estimates provided in this spreadsheet with those published prior to this period.
More information on survey changes can be found in our Opinions and Lifestyle Survey: sample sizes, response rates and user requested data dataset published on 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</si>
</sst>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2"/>
      <color rgb="FF000000"/>
      <name val="Arial"/>
    </font>
    <font>
      <sz val="12"/>
      <color theme="1"/>
      <name val="Arial"/>
      <family val="2"/>
    </font>
    <font>
      <u/>
      <sz val="12"/>
      <color theme="10"/>
      <name val="Arial"/>
    </font>
    <font>
      <b/>
      <sz val="16"/>
      <color rgb="FF000000"/>
      <name val="Arial"/>
    </font>
    <font>
      <b/>
      <sz val="14"/>
      <color rgb="FF000000"/>
      <name val="Arial"/>
    </font>
    <font>
      <b/>
      <sz val="12"/>
      <color rgb="FF000000"/>
      <name val="Arial"/>
    </font>
    <font>
      <b/>
      <sz val="13"/>
      <color rgb="FF000000"/>
      <name val="Arial"/>
    </font>
    <font>
      <sz val="12"/>
      <color rgb="FF242424"/>
      <name val="Arial"/>
      <family val="2"/>
    </font>
    <font>
      <u/>
      <sz val="12"/>
      <color theme="10"/>
      <name val="Arial"/>
      <family val="2"/>
    </font>
    <font>
      <sz val="12"/>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2" fillId="0" borderId="0" applyNumberFormat="0" applyFill="0" applyBorder="0" applyAlignment="0" applyProtection="0"/>
    <xf numFmtId="0" fontId="1" fillId="0" borderId="0"/>
    <xf numFmtId="0" fontId="8" fillId="0" borderId="0" applyNumberFormat="0" applyFill="0" applyBorder="0" applyAlignment="0" applyProtection="0"/>
  </cellStyleXfs>
  <cellXfs count="27">
    <xf numFmtId="0" fontId="0" fillId="0" borderId="0" xfId="0"/>
    <xf numFmtId="0" fontId="2" fillId="0" borderId="0" xfId="0" applyFont="1" applyAlignment="1">
      <alignment wrapText="1"/>
    </xf>
    <xf numFmtId="0" fontId="3" fillId="0" borderId="0" xfId="0" applyFont="1" applyAlignment="1">
      <alignment wrapText="1"/>
    </xf>
    <xf numFmtId="0" fontId="0" fillId="0" borderId="0" xfId="0" applyAlignment="1">
      <alignment wrapText="1"/>
    </xf>
    <xf numFmtId="0" fontId="4" fillId="0" borderId="0" xfId="0" applyFont="1" applyAlignment="1">
      <alignment wrapText="1"/>
    </xf>
    <xf numFmtId="0" fontId="3" fillId="0" borderId="0" xfId="0" applyFont="1"/>
    <xf numFmtId="0" fontId="0" fillId="0" borderId="0" xfId="0" applyAlignment="1">
      <alignment horizontal="left" wrapText="1"/>
    </xf>
    <xf numFmtId="0" fontId="5" fillId="0" borderId="0" xfId="0" applyFont="1" applyAlignment="1">
      <alignment horizontal="left" wrapText="1"/>
    </xf>
    <xf numFmtId="0" fontId="0" fillId="0" borderId="0" xfId="0" applyAlignment="1">
      <alignment horizontal="right" wrapText="1"/>
    </xf>
    <xf numFmtId="0" fontId="5" fillId="0" borderId="0" xfId="0" applyFont="1" applyAlignment="1">
      <alignment wrapText="1"/>
    </xf>
    <xf numFmtId="0" fontId="5" fillId="0" borderId="0" xfId="0" applyFont="1" applyAlignment="1">
      <alignment horizontal="right" wrapText="1"/>
    </xf>
    <xf numFmtId="3" fontId="0" fillId="0" borderId="0" xfId="0" applyNumberFormat="1"/>
    <xf numFmtId="0" fontId="2" fillId="0" borderId="0" xfId="0" applyFont="1" applyAlignment="1">
      <alignment horizontal="left" wrapText="1"/>
    </xf>
    <xf numFmtId="0" fontId="0" fillId="0" borderId="0" xfId="0" applyAlignment="1">
      <alignment horizontal="right"/>
    </xf>
    <xf numFmtId="0" fontId="0" fillId="0" borderId="0" xfId="0" applyAlignment="1">
      <alignment horizontal="right" vertical="center"/>
    </xf>
    <xf numFmtId="0" fontId="0" fillId="0" borderId="0" xfId="0" applyAlignment="1">
      <alignment vertical="top" wrapText="1"/>
    </xf>
    <xf numFmtId="0" fontId="0" fillId="0" borderId="0" xfId="0" applyAlignment="1">
      <alignment vertical="center"/>
    </xf>
    <xf numFmtId="3" fontId="0" fillId="0" borderId="0" xfId="0" applyNumberFormat="1" applyAlignment="1">
      <alignment horizontal="right"/>
    </xf>
    <xf numFmtId="164" fontId="0" fillId="0" borderId="0" xfId="0" applyNumberFormat="1" applyAlignment="1">
      <alignment horizontal="right"/>
    </xf>
    <xf numFmtId="0" fontId="2" fillId="0" borderId="0" xfId="0" applyFont="1"/>
    <xf numFmtId="0" fontId="5" fillId="0" borderId="0" xfId="0" applyFont="1"/>
    <xf numFmtId="0" fontId="6" fillId="0" borderId="0" xfId="0" applyFont="1"/>
    <xf numFmtId="0" fontId="7" fillId="0" borderId="0" xfId="0" applyFont="1"/>
    <xf numFmtId="0" fontId="9" fillId="0" borderId="0" xfId="2" applyFont="1" applyAlignment="1">
      <alignment horizontal="left" vertical="top" wrapText="1"/>
    </xf>
    <xf numFmtId="0" fontId="8" fillId="0" borderId="0" xfId="3" applyAlignment="1">
      <alignment vertical="center" wrapText="1"/>
    </xf>
    <xf numFmtId="0" fontId="2" fillId="0" borderId="0" xfId="1"/>
    <xf numFmtId="0" fontId="2" fillId="0" borderId="0" xfId="1" applyAlignment="1">
      <alignment wrapText="1"/>
    </xf>
  </cellXfs>
  <cellStyles count="4">
    <cellStyle name="Hyperlink" xfId="1" builtinId="8"/>
    <cellStyle name="Hyperlink 7" xfId="3" xr:uid="{1974E423-3BD6-44D9-B681-80FE42F7022C}"/>
    <cellStyle name="Normal" xfId="0" builtinId="0"/>
    <cellStyle name="Normal 14" xfId="2" xr:uid="{2F646B81-C60D-4EB0-B317-7E0A34B5BE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C16" totalsRowShown="0">
  <tableColumns count="3">
    <tableColumn id="1" xr3:uid="{00000000-0010-0000-0000-000001000000}" name="Worksheet"/>
    <tableColumn id="2" xr3:uid="{00000000-0010-0000-0000-000002000000}" name="Worksheet_title"/>
    <tableColumn id="3" xr3:uid="{00000000-0010-0000-0000-000003000000}" name="Link to tab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B9" totalsRowShown="0">
  <tableColumns count="2">
    <tableColumn id="1" xr3:uid="{00000000-0010-0000-0100-000001000000}" name="Note number"/>
    <tableColumn id="2" xr3:uid="{00000000-0010-0000-0100-000002000000}" name="Note text"/>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 displayName="table_1" ref="A10:H24" totalsRowShown="0">
  <tableColumns count="8">
    <tableColumn id="1" xr3:uid="{00000000-0010-0000-0200-000001000000}" name="Breakdown category"/>
    <tableColumn id="2" xr3:uid="{00000000-0010-0000-0200-000002000000}" name="Breakdown"/>
    <tableColumn id="3" xr3:uid="{00000000-0010-0000-0200-000003000000}" name="Response options"/>
    <tableColumn id="4" xr3:uid="{00000000-0010-0000-0200-000004000000}" name="Estimate (%)"/>
    <tableColumn id="5" xr3:uid="{00000000-0010-0000-0200-000005000000}" name="LCL"/>
    <tableColumn id="6" xr3:uid="{00000000-0010-0000-0200-000006000000}" name="UCL"/>
    <tableColumn id="7" xr3:uid="{00000000-0010-0000-0200-000007000000}" name="Sample size"/>
    <tableColumn id="8" xr3:uid="{00000000-0010-0000-0200-000008000000}" name="Weighted count"/>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2" displayName="table_2" ref="A10:H109" totalsRowShown="0">
  <tableColumns count="8">
    <tableColumn id="1" xr3:uid="{00000000-0010-0000-0300-000001000000}" name="Breakdown category"/>
    <tableColumn id="2" xr3:uid="{00000000-0010-0000-0300-000002000000}" name="Breakdown"/>
    <tableColumn id="3" xr3:uid="{00000000-0010-0000-0300-000003000000}" name="Response options"/>
    <tableColumn id="4" xr3:uid="{00000000-0010-0000-0300-000004000000}" name="Estimate (%)"/>
    <tableColumn id="5" xr3:uid="{00000000-0010-0000-0300-000005000000}" name="LCL"/>
    <tableColumn id="6" xr3:uid="{00000000-0010-0000-0300-000006000000}" name="UCL"/>
    <tableColumn id="7" xr3:uid="{00000000-0010-0000-0300-000007000000}" name="Sample size"/>
    <tableColumn id="8" xr3:uid="{00000000-0010-0000-0300-000008000000}" name="Weighted count"/>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3" displayName="table_3" ref="A10:H118" totalsRowShown="0">
  <tableColumns count="8">
    <tableColumn id="1" xr3:uid="{00000000-0010-0000-0400-000001000000}" name="Breakdown category"/>
    <tableColumn id="2" xr3:uid="{00000000-0010-0000-0400-000002000000}" name="Breakdown"/>
    <tableColumn id="3" xr3:uid="{00000000-0010-0000-0400-000003000000}" name="Response options"/>
    <tableColumn id="4" xr3:uid="{00000000-0010-0000-0400-000004000000}" name="Estimate (%)"/>
    <tableColumn id="5" xr3:uid="{00000000-0010-0000-0400-000005000000}" name="LCL"/>
    <tableColumn id="6" xr3:uid="{00000000-0010-0000-0400-000006000000}" name="UCL"/>
    <tableColumn id="7" xr3:uid="{00000000-0010-0000-0400-000007000000}" name="Sample size"/>
    <tableColumn id="8" xr3:uid="{00000000-0010-0000-0400-000008000000}" name="Weighted count"/>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4" displayName="table_4" ref="A10:G19" totalsRowShown="0">
  <tableColumns count="7">
    <tableColumn id="1" xr3:uid="{00000000-0010-0000-0500-000001000000}" name="Breakdown category"/>
    <tableColumn id="2" xr3:uid="{00000000-0010-0000-0500-000002000000}" name="Breakdown"/>
    <tableColumn id="3" xr3:uid="{00000000-0010-0000-0500-000003000000}" name="Estimate (mean score out of 10)"/>
    <tableColumn id="4" xr3:uid="{00000000-0010-0000-0500-000004000000}" name="LCL"/>
    <tableColumn id="5" xr3:uid="{00000000-0010-0000-0500-000005000000}" name="UCL"/>
    <tableColumn id="6" xr3:uid="{00000000-0010-0000-0500-000006000000}" name="Sample size"/>
    <tableColumn id="7" xr3:uid="{00000000-0010-0000-0500-000007000000}" name="Weighted count"/>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5" displayName="table_5" ref="A10:H19" totalsRowShown="0">
  <tableColumns count="8">
    <tableColumn id="1" xr3:uid="{00000000-0010-0000-0600-000001000000}" name="Breakdown category"/>
    <tableColumn id="2" xr3:uid="{00000000-0010-0000-0600-000002000000}" name="Breakdown"/>
    <tableColumn id="3" xr3:uid="{00000000-0010-0000-0600-000003000000}" name="Response options"/>
    <tableColumn id="4" xr3:uid="{00000000-0010-0000-0600-000004000000}" name="Estimate (%)"/>
    <tableColumn id="5" xr3:uid="{00000000-0010-0000-0600-000005000000}" name="LCL"/>
    <tableColumn id="6" xr3:uid="{00000000-0010-0000-0600-000006000000}" name="UCL"/>
    <tableColumn id="7" xr3:uid="{00000000-0010-0000-0600-000007000000}" name="Sample size"/>
    <tableColumn id="8" xr3:uid="{00000000-0010-0000-0600-000008000000}" name="Weighted count"/>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6" displayName="table_6" ref="A11:I74" totalsRowShown="0">
  <tableColumns count="9">
    <tableColumn id="1" xr3:uid="{00000000-0010-0000-0700-000001000000}" name="Breakdown category"/>
    <tableColumn id="2" xr3:uid="{00000000-0010-0000-0700-000002000000}" name="Breakdown"/>
    <tableColumn id="3" xr3:uid="{00000000-0010-0000-0700-000003000000}" name="Response options"/>
    <tableColumn id="4" xr3:uid="{00000000-0010-0000-0700-000004000000}" name="Estimate (%)"/>
    <tableColumn id="5" xr3:uid="{00000000-0010-0000-0700-000005000000}" name="LCL"/>
    <tableColumn id="6" xr3:uid="{00000000-0010-0000-0700-000006000000}" name="UCL"/>
    <tableColumn id="7" xr3:uid="{00000000-0010-0000-0700-000007000000}" name="Sample size"/>
    <tableColumn id="8" xr3:uid="{00000000-0010-0000-0700-000008000000}" name="Weighted count"/>
    <tableColumn id="9" xr3:uid="{00000000-0010-0000-0700-000009000000}" name="Notes"/>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7" displayName="table_7" ref="A11:I74" totalsRowShown="0">
  <tableColumns count="9">
    <tableColumn id="1" xr3:uid="{00000000-0010-0000-0800-000001000000}" name="Breakdown category"/>
    <tableColumn id="2" xr3:uid="{00000000-0010-0000-0800-000002000000}" name="Breakdown"/>
    <tableColumn id="3" xr3:uid="{00000000-0010-0000-0800-000003000000}" name="Response options"/>
    <tableColumn id="4" xr3:uid="{00000000-0010-0000-0800-000004000000}" name="Estimate (%)"/>
    <tableColumn id="5" xr3:uid="{00000000-0010-0000-0800-000005000000}" name="LCL"/>
    <tableColumn id="6" xr3:uid="{00000000-0010-0000-0800-000006000000}" name="UCL"/>
    <tableColumn id="7" xr3:uid="{00000000-0010-0000-0800-000007000000}" name="Sample size"/>
    <tableColumn id="8" xr3:uid="{00000000-0010-0000-0800-000008000000}" name="Weighted count"/>
    <tableColumn id="9" xr3:uid="{00000000-0010-0000-0800-000009000000}" name="Notes"/>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8" displayName="table_8" ref="A10:H118" totalsRowShown="0">
  <tableColumns count="8">
    <tableColumn id="1" xr3:uid="{00000000-0010-0000-0900-000001000000}" name="Breakdown category"/>
    <tableColumn id="2" xr3:uid="{00000000-0010-0000-0900-000002000000}" name="Breakdown"/>
    <tableColumn id="3" xr3:uid="{00000000-0010-0000-0900-000003000000}" name="Response options"/>
    <tableColumn id="4" xr3:uid="{00000000-0010-0000-0900-000004000000}" name="Estimate (%)"/>
    <tableColumn id="5" xr3:uid="{00000000-0010-0000-0900-000005000000}" name="LCL"/>
    <tableColumn id="6" xr3:uid="{00000000-0010-0000-0900-000006000000}" name="UCL"/>
    <tableColumn id="7" xr3:uid="{00000000-0010-0000-0900-000007000000}" name="Sample size"/>
    <tableColumn id="8" xr3:uid="{00000000-0010-0000-0900-000008000000}" name="Weighted count"/>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9" displayName="table_9" ref="A10:G19" totalsRowShown="0">
  <tableColumns count="7">
    <tableColumn id="1" xr3:uid="{00000000-0010-0000-0A00-000001000000}" name="Breakdown category"/>
    <tableColumn id="2" xr3:uid="{00000000-0010-0000-0A00-000002000000}" name="Breakdown"/>
    <tableColumn id="3" xr3:uid="{00000000-0010-0000-0A00-000003000000}" name="Estimate (mean score out of 10)"/>
    <tableColumn id="4" xr3:uid="{00000000-0010-0000-0A00-000004000000}" name="LCL"/>
    <tableColumn id="5" xr3:uid="{00000000-0010-0000-0A00-000005000000}" name="UCL"/>
    <tableColumn id="6" xr3:uid="{00000000-0010-0000-0A00-000006000000}" name="Sample size"/>
    <tableColumn id="7" xr3:uid="{00000000-0010-0000-0A00-000007000000}" name="Weighted count"/>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10" displayName="table_10" ref="A10:H19" totalsRowShown="0">
  <tableColumns count="8">
    <tableColumn id="1" xr3:uid="{00000000-0010-0000-0B00-000001000000}" name="Breakdown category"/>
    <tableColumn id="2" xr3:uid="{00000000-0010-0000-0B00-000002000000}" name="Breakdown"/>
    <tableColumn id="3" xr3:uid="{00000000-0010-0000-0B00-000003000000}" name="Response options"/>
    <tableColumn id="4" xr3:uid="{00000000-0010-0000-0B00-000004000000}" name="Estimate (%)"/>
    <tableColumn id="5" xr3:uid="{00000000-0010-0000-0B00-000005000000}" name="LCL"/>
    <tableColumn id="6" xr3:uid="{00000000-0010-0000-0B00-000006000000}" name="UCL"/>
    <tableColumn id="7" xr3:uid="{00000000-0010-0000-0B00-000007000000}" name="Sample size"/>
    <tableColumn id="8" xr3:uid="{00000000-0010-0000-0B00-000008000000}" name="Weighted count"/>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11" displayName="table_11" ref="A11:I92" totalsRowShown="0">
  <tableColumns count="9">
    <tableColumn id="1" xr3:uid="{00000000-0010-0000-0C00-000001000000}" name="Breakdown category"/>
    <tableColumn id="2" xr3:uid="{00000000-0010-0000-0C00-000002000000}" name="Breakdown"/>
    <tableColumn id="3" xr3:uid="{00000000-0010-0000-0C00-000003000000}" name="Response options"/>
    <tableColumn id="4" xr3:uid="{00000000-0010-0000-0C00-000004000000}" name="Estimate (%)"/>
    <tableColumn id="5" xr3:uid="{00000000-0010-0000-0C00-000005000000}" name="LCL"/>
    <tableColumn id="6" xr3:uid="{00000000-0010-0000-0C00-000006000000}" name="UCL"/>
    <tableColumn id="7" xr3:uid="{00000000-0010-0000-0C00-000007000000}" name="Sample size"/>
    <tableColumn id="8" xr3:uid="{00000000-0010-0000-0C00-000008000000}" name="Weighted count"/>
    <tableColumn id="9" xr3:uid="{00000000-0010-0000-0C00-000009000000}" name="Notes"/>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peoplepopulationandcommunity/wellbeing/bulletins/publicopinionsandsocialtrendsgreatbritain/march2025/relateddata" TargetMode="External"/><Relationship Id="rId3" Type="http://schemas.openxmlformats.org/officeDocument/2006/relationships/hyperlink" Target="mailto:Media.Relations@ons.gov.uk" TargetMode="External"/><Relationship Id="rId7" Type="http://schemas.openxmlformats.org/officeDocument/2006/relationships/hyperlink" Target="https://www.ons.gov.uk/peoplepopulationandcommunity/healthandsocialcare/healthandlifeexpectancies/methodologies/opinionsandlifestylesurveyqmi" TargetMode="External"/><Relationship Id="rId2" Type="http://schemas.openxmlformats.org/officeDocument/2006/relationships/hyperlink" Target="mailto:Policy.Evidence.Analysis@ons.gov.uk" TargetMode="External"/><Relationship Id="rId1" Type="http://schemas.openxmlformats.org/officeDocument/2006/relationships/hyperlink" Target="https://www.ons.gov.uk/releases/publicopinionsandsocialtrendsgreatbritainapril2025" TargetMode="External"/><Relationship Id="rId6" Type="http://schemas.openxmlformats.org/officeDocument/2006/relationships/hyperlink" Target="https://beta.ukdataservice.ac.uk/datacatalogue/studies/study?id=8635" TargetMode="External"/><Relationship Id="rId5" Type="http://schemas.openxmlformats.org/officeDocument/2006/relationships/hyperlink" Target="https://analysisfunction.civilservice.gov.uk/policy-store/symbols-in-tables-definitions-and-help/" TargetMode="External"/><Relationship Id="rId4" Type="http://schemas.openxmlformats.org/officeDocument/2006/relationships/hyperlink" Target="https://www.ons.gov.uk/peoplepopulationandcommunity/healthandsocialcare/healthandlifeexpectancies/methodologies/opinionsandlifestylesurveyqmi"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phqscreeners.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tabSelected="1" workbookViewId="0"/>
  </sheetViews>
  <sheetFormatPr defaultColWidth="10.90625" defaultRowHeight="15" x14ac:dyDescent="0.25"/>
  <cols>
    <col min="1" max="1" width="72.6328125" customWidth="1"/>
  </cols>
  <sheetData>
    <row r="1" spans="1:1" ht="42" x14ac:dyDescent="0.4">
      <c r="A1" s="2" t="s">
        <v>0</v>
      </c>
    </row>
    <row r="2" spans="1:1" x14ac:dyDescent="0.25">
      <c r="A2" t="s">
        <v>1</v>
      </c>
    </row>
    <row r="3" spans="1:1" x14ac:dyDescent="0.25">
      <c r="A3" s="15" t="s">
        <v>2</v>
      </c>
    </row>
    <row r="4" spans="1:1" x14ac:dyDescent="0.25">
      <c r="A4" t="s">
        <v>3</v>
      </c>
    </row>
    <row r="5" spans="1:1" x14ac:dyDescent="0.25">
      <c r="A5" s="1" t="s">
        <v>4</v>
      </c>
    </row>
    <row r="6" spans="1:1" ht="34.200000000000003" customHeight="1" x14ac:dyDescent="0.3">
      <c r="A6" s="4" t="s">
        <v>5</v>
      </c>
    </row>
    <row r="7" spans="1:1" x14ac:dyDescent="0.25">
      <c r="A7" s="15" t="s">
        <v>6</v>
      </c>
    </row>
    <row r="8" spans="1:1" x14ac:dyDescent="0.25">
      <c r="A8" s="1" t="s">
        <v>7</v>
      </c>
    </row>
    <row r="9" spans="1:1" ht="34.200000000000003" customHeight="1" x14ac:dyDescent="0.3">
      <c r="A9" s="4" t="s">
        <v>8</v>
      </c>
    </row>
    <row r="10" spans="1:1" x14ac:dyDescent="0.25">
      <c r="A10" s="22" t="s">
        <v>9</v>
      </c>
    </row>
    <row r="11" spans="1:1" x14ac:dyDescent="0.25">
      <c r="A11" s="1" t="s">
        <v>10</v>
      </c>
    </row>
    <row r="12" spans="1:1" ht="34.200000000000003" customHeight="1" x14ac:dyDescent="0.3">
      <c r="A12" s="4" t="s">
        <v>11</v>
      </c>
    </row>
    <row r="13" spans="1:1" ht="105" x14ac:dyDescent="0.25">
      <c r="A13" s="15" t="s">
        <v>12</v>
      </c>
    </row>
    <row r="14" spans="1:1" ht="34.200000000000003" customHeight="1" x14ac:dyDescent="0.3">
      <c r="A14" s="4" t="s">
        <v>13</v>
      </c>
    </row>
    <row r="15" spans="1:1" ht="174" customHeight="1" x14ac:dyDescent="0.25">
      <c r="A15" s="3" t="s">
        <v>175</v>
      </c>
    </row>
    <row r="16" spans="1:1" x14ac:dyDescent="0.25">
      <c r="A16" s="26" t="s">
        <v>14</v>
      </c>
    </row>
    <row r="17" spans="1:1" ht="34.200000000000003" customHeight="1" x14ac:dyDescent="0.3">
      <c r="A17" s="4" t="s">
        <v>15</v>
      </c>
    </row>
    <row r="18" spans="1:1" ht="195" x14ac:dyDescent="0.25">
      <c r="A18" s="15" t="s">
        <v>16</v>
      </c>
    </row>
    <row r="19" spans="1:1" ht="34.200000000000003" customHeight="1" x14ac:dyDescent="0.3">
      <c r="A19" s="4" t="s">
        <v>17</v>
      </c>
    </row>
    <row r="20" spans="1:1" ht="60" x14ac:dyDescent="0.25">
      <c r="A20" s="15" t="s">
        <v>18</v>
      </c>
    </row>
    <row r="21" spans="1:1" x14ac:dyDescent="0.25">
      <c r="A21" s="1" t="s">
        <v>19</v>
      </c>
    </row>
    <row r="22" spans="1:1" ht="34.200000000000003" customHeight="1" x14ac:dyDescent="0.3">
      <c r="A22" s="4" t="s">
        <v>20</v>
      </c>
    </row>
    <row r="23" spans="1:1" ht="60" x14ac:dyDescent="0.25">
      <c r="A23" s="15" t="s">
        <v>21</v>
      </c>
    </row>
    <row r="24" spans="1:1" ht="34.200000000000003" customHeight="1" x14ac:dyDescent="0.3">
      <c r="A24" s="4" t="s">
        <v>22</v>
      </c>
    </row>
    <row r="25" spans="1:1" ht="30" x14ac:dyDescent="0.25">
      <c r="A25" s="15" t="s">
        <v>23</v>
      </c>
    </row>
    <row r="26" spans="1:1" ht="34.200000000000003" customHeight="1" x14ac:dyDescent="0.3">
      <c r="A26" s="4" t="s">
        <v>24</v>
      </c>
    </row>
    <row r="27" spans="1:1" ht="45" x14ac:dyDescent="0.25">
      <c r="A27" s="15" t="s">
        <v>25</v>
      </c>
    </row>
    <row r="28" spans="1:1" ht="34.200000000000003" customHeight="1" x14ac:dyDescent="0.3">
      <c r="A28" s="4" t="s">
        <v>26</v>
      </c>
    </row>
    <row r="29" spans="1:1" ht="75" x14ac:dyDescent="0.25">
      <c r="A29" s="15" t="s">
        <v>27</v>
      </c>
    </row>
    <row r="30" spans="1:1" ht="34.200000000000003" customHeight="1" x14ac:dyDescent="0.3">
      <c r="A30" s="4" t="s">
        <v>28</v>
      </c>
    </row>
    <row r="31" spans="1:1" ht="345" x14ac:dyDescent="0.25">
      <c r="A31" s="15" t="s">
        <v>29</v>
      </c>
    </row>
    <row r="32" spans="1:1" x14ac:dyDescent="0.25">
      <c r="A32" s="1" t="s">
        <v>30</v>
      </c>
    </row>
    <row r="33" spans="1:1" ht="34.200000000000003" customHeight="1" x14ac:dyDescent="0.3">
      <c r="A33" s="4" t="s">
        <v>31</v>
      </c>
    </row>
    <row r="34" spans="1:1" x14ac:dyDescent="0.25">
      <c r="A34" s="15" t="s">
        <v>32</v>
      </c>
    </row>
    <row r="35" spans="1:1" x14ac:dyDescent="0.25">
      <c r="A35" s="1" t="s">
        <v>33</v>
      </c>
    </row>
    <row r="36" spans="1:1" ht="34.200000000000003" customHeight="1" x14ac:dyDescent="0.3">
      <c r="A36" s="4" t="s">
        <v>34</v>
      </c>
    </row>
    <row r="37" spans="1:1" x14ac:dyDescent="0.25">
      <c r="A37" s="1" t="s">
        <v>35</v>
      </c>
    </row>
  </sheetData>
  <hyperlinks>
    <hyperlink ref="A5" r:id="rId1" xr:uid="{6A13D2FA-C8E1-4DAF-B0D7-D2DF5D53E90D}"/>
    <hyperlink ref="A8" r:id="rId2" xr:uid="{D948EBFC-E1E1-4A6D-AD6C-3384E50940FA}"/>
    <hyperlink ref="A11" r:id="rId3" xr:uid="{CA5A49DF-6C02-49FE-B41C-5E4A99382009}"/>
    <hyperlink ref="A21" r:id="rId4" location="methods-used-to-produce-the-opinions-and-lifestyle-survey-opn-data" xr:uid="{2FC5E0F5-4F4E-47FF-8D97-9C6C102412D1}"/>
    <hyperlink ref="A32" r:id="rId5" xr:uid="{C522F39F-B0F9-42E0-94E5-BE6B419B7AFA}"/>
    <hyperlink ref="A35" r:id="rId6" xr:uid="{D2BC8D0F-CFC0-4E08-A01E-F3D54E4FC333}"/>
    <hyperlink ref="A37" r:id="rId7" xr:uid="{4B442298-1BD5-443E-9900-0A399E1A3ACE}"/>
    <hyperlink ref="A16" r:id="rId8" xr:uid="{C536F7FC-3709-4116-B1B2-3696D1F12055}"/>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heetViews>
  <sheetFormatPr defaultColWidth="10.90625" defaultRowHeight="15" x14ac:dyDescent="0.25"/>
  <cols>
    <col min="1" max="1" width="9.1796875" customWidth="1"/>
    <col min="2" max="2" width="56.81640625" customWidth="1"/>
    <col min="3" max="3" width="15.08984375" customWidth="1"/>
  </cols>
  <sheetData>
    <row r="1" spans="1:3" ht="21" x14ac:dyDescent="0.4">
      <c r="A1" s="5" t="s">
        <v>36</v>
      </c>
    </row>
    <row r="2" spans="1:3" x14ac:dyDescent="0.25">
      <c r="A2" t="s">
        <v>37</v>
      </c>
    </row>
    <row r="3" spans="1:3" ht="31.2" x14ac:dyDescent="0.3">
      <c r="A3" s="7" t="s">
        <v>38</v>
      </c>
      <c r="B3" s="7" t="s">
        <v>39</v>
      </c>
      <c r="C3" s="7" t="s">
        <v>40</v>
      </c>
    </row>
    <row r="4" spans="1:3" x14ac:dyDescent="0.25">
      <c r="A4" s="16" t="s">
        <v>41</v>
      </c>
      <c r="B4" s="6" t="s">
        <v>42</v>
      </c>
      <c r="C4" s="12" t="str">
        <f>HYPERLINK("#'Cover'!A1", "Link to Cover")</f>
        <v>Link to Cover</v>
      </c>
    </row>
    <row r="5" spans="1:3" x14ac:dyDescent="0.25">
      <c r="A5" s="16" t="s">
        <v>43</v>
      </c>
      <c r="B5" s="6" t="s">
        <v>43</v>
      </c>
      <c r="C5" s="12" t="str">
        <f>HYPERLINK("#'Notes'!A1", "Link to Notes")</f>
        <v>Link to Notes</v>
      </c>
    </row>
    <row r="6" spans="1:3" x14ac:dyDescent="0.25">
      <c r="A6" s="16" t="s">
        <v>44</v>
      </c>
      <c r="B6" s="6" t="s">
        <v>45</v>
      </c>
      <c r="C6" s="12" t="str">
        <f>HYPERLINK("#'Table_1'!A1", "Link to Table_1")</f>
        <v>Link to Table_1</v>
      </c>
    </row>
    <row r="7" spans="1:3" ht="30" x14ac:dyDescent="0.25">
      <c r="A7" s="16" t="s">
        <v>46</v>
      </c>
      <c r="B7" s="6" t="s">
        <v>47</v>
      </c>
      <c r="C7" s="12" t="str">
        <f>HYPERLINK("#'Table_2'!A1", "Link to Table_2")</f>
        <v>Link to Table_2</v>
      </c>
    </row>
    <row r="8" spans="1:3" ht="30" x14ac:dyDescent="0.25">
      <c r="A8" s="16" t="s">
        <v>48</v>
      </c>
      <c r="B8" s="6" t="s">
        <v>49</v>
      </c>
      <c r="C8" s="12" t="str">
        <f>HYPERLINK("#'Table_3'!A1", "Link to Table_3")</f>
        <v>Link to Table_3</v>
      </c>
    </row>
    <row r="9" spans="1:3" ht="30" x14ac:dyDescent="0.25">
      <c r="A9" s="16" t="s">
        <v>50</v>
      </c>
      <c r="B9" s="6" t="s">
        <v>51</v>
      </c>
      <c r="C9" s="12" t="str">
        <f>HYPERLINK("#'Table_4'!A1", "Link to Table_4")</f>
        <v>Link to Table_4</v>
      </c>
    </row>
    <row r="10" spans="1:3" x14ac:dyDescent="0.25">
      <c r="A10" s="16" t="s">
        <v>52</v>
      </c>
      <c r="B10" s="6" t="s">
        <v>53</v>
      </c>
      <c r="C10" s="12" t="str">
        <f>HYPERLINK("#'Table_5'!A1", "Link to Table_5")</f>
        <v>Link to Table_5</v>
      </c>
    </row>
    <row r="11" spans="1:3" ht="30" x14ac:dyDescent="0.25">
      <c r="A11" s="16" t="s">
        <v>54</v>
      </c>
      <c r="B11" s="6" t="s">
        <v>55</v>
      </c>
      <c r="C11" s="12" t="str">
        <f>HYPERLINK("#'Table_6'!A1", "Link to Table_6")</f>
        <v>Link to Table_6</v>
      </c>
    </row>
    <row r="12" spans="1:3" ht="30" x14ac:dyDescent="0.25">
      <c r="A12" s="16" t="s">
        <v>56</v>
      </c>
      <c r="B12" s="6" t="s">
        <v>57</v>
      </c>
      <c r="C12" s="12" t="str">
        <f>HYPERLINK("#'Table_7'!A1", "Link to Table_7")</f>
        <v>Link to Table_7</v>
      </c>
    </row>
    <row r="13" spans="1:3" ht="45" x14ac:dyDescent="0.25">
      <c r="A13" s="16" t="s">
        <v>58</v>
      </c>
      <c r="B13" s="6" t="s">
        <v>59</v>
      </c>
      <c r="C13" s="12" t="str">
        <f>HYPERLINK("#'Table_8'!A1", "Link to Table_8")</f>
        <v>Link to Table_8</v>
      </c>
    </row>
    <row r="14" spans="1:3" ht="30" x14ac:dyDescent="0.25">
      <c r="A14" s="16" t="s">
        <v>60</v>
      </c>
      <c r="B14" s="6" t="s">
        <v>61</v>
      </c>
      <c r="C14" s="12" t="str">
        <f>HYPERLINK("#'Table_9'!A1", "Link to Table_9")</f>
        <v>Link to Table_9</v>
      </c>
    </row>
    <row r="15" spans="1:3" x14ac:dyDescent="0.25">
      <c r="A15" s="16" t="s">
        <v>62</v>
      </c>
      <c r="B15" s="6" t="s">
        <v>63</v>
      </c>
      <c r="C15" s="12" t="str">
        <f>HYPERLINK("#'Table_10'!A1", "Link to Table_10")</f>
        <v>Link to Table_10</v>
      </c>
    </row>
    <row r="16" spans="1:3" x14ac:dyDescent="0.25">
      <c r="A16" s="16" t="s">
        <v>64</v>
      </c>
      <c r="B16" s="6" t="s">
        <v>65</v>
      </c>
      <c r="C16" s="12" t="str">
        <f>HYPERLINK("#'Table_11'!A1", "Link to Table_11")</f>
        <v>Link to Table_11</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defaultColWidth="10.90625" defaultRowHeight="15" x14ac:dyDescent="0.25"/>
  <cols>
    <col min="1" max="1" width="16.81640625" customWidth="1"/>
    <col min="2" max="2" width="56.81640625" customWidth="1"/>
    <col min="3" max="3" width="25.1796875" customWidth="1"/>
  </cols>
  <sheetData>
    <row r="1" spans="1:3" ht="21" x14ac:dyDescent="0.4">
      <c r="A1" s="5" t="s">
        <v>66</v>
      </c>
    </row>
    <row r="2" spans="1:3" x14ac:dyDescent="0.25">
      <c r="A2" t="s">
        <v>37</v>
      </c>
    </row>
    <row r="3" spans="1:3" x14ac:dyDescent="0.25">
      <c r="A3" s="19" t="str">
        <f>HYPERLINK("#'Contents'!A1", "Return to table of contents")</f>
        <v>Return to table of contents</v>
      </c>
    </row>
    <row r="4" spans="1:3" ht="15.6" x14ac:dyDescent="0.3">
      <c r="A4" s="7" t="s">
        <v>67</v>
      </c>
      <c r="B4" s="7" t="s">
        <v>68</v>
      </c>
    </row>
    <row r="5" spans="1:3" ht="409.6" x14ac:dyDescent="0.25">
      <c r="A5" s="14">
        <v>1</v>
      </c>
      <c r="B5" s="23" t="s">
        <v>69</v>
      </c>
      <c r="C5" s="24" t="s">
        <v>70</v>
      </c>
    </row>
    <row r="6" spans="1:3" ht="30" x14ac:dyDescent="0.25">
      <c r="A6" s="14">
        <v>2</v>
      </c>
      <c r="B6" s="6" t="s">
        <v>71</v>
      </c>
    </row>
    <row r="7" spans="1:3" ht="60" x14ac:dyDescent="0.25">
      <c r="A7" s="14">
        <v>3</v>
      </c>
      <c r="B7" s="6" t="s">
        <v>72</v>
      </c>
    </row>
    <row r="8" spans="1:3" ht="45" x14ac:dyDescent="0.25">
      <c r="A8" s="14">
        <v>4</v>
      </c>
      <c r="B8" s="6" t="s">
        <v>73</v>
      </c>
    </row>
    <row r="9" spans="1:3" ht="60" x14ac:dyDescent="0.25">
      <c r="A9" s="14">
        <v>5</v>
      </c>
      <c r="B9" s="6" t="s">
        <v>74</v>
      </c>
    </row>
  </sheetData>
  <hyperlinks>
    <hyperlink ref="C5" r:id="rId1" xr:uid="{EA044C43-07FD-4446-826D-31EEC26B3F3C}"/>
  </hyperlinks>
  <pageMargins left="0.7" right="0.7" top="0.75" bottom="0.75" header="0.3" footer="0.3"/>
  <pageSetup paperSize="9" orientation="portrait"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workbookViewId="0"/>
  </sheetViews>
  <sheetFormatPr defaultColWidth="10.90625" defaultRowHeight="15" x14ac:dyDescent="0.25"/>
  <cols>
    <col min="1" max="2" width="13.1796875" customWidth="1"/>
    <col min="3" max="3" width="34.81640625" customWidth="1"/>
    <col min="4" max="8" width="16.81640625" customWidth="1"/>
  </cols>
  <sheetData>
    <row r="1" spans="1:8" ht="21" x14ac:dyDescent="0.4">
      <c r="A1" s="5" t="s">
        <v>75</v>
      </c>
    </row>
    <row r="2" spans="1:8" ht="16.8" x14ac:dyDescent="0.3">
      <c r="A2" s="21" t="s">
        <v>76</v>
      </c>
    </row>
    <row r="3" spans="1:8" x14ac:dyDescent="0.25">
      <c r="A3" t="s">
        <v>37</v>
      </c>
    </row>
    <row r="4" spans="1:8" x14ac:dyDescent="0.25">
      <c r="A4" t="s">
        <v>77</v>
      </c>
    </row>
    <row r="5" spans="1:8" x14ac:dyDescent="0.25">
      <c r="A5" s="25" t="str">
        <f>HYPERLINK("#'Cover'!A29", "If shorthand is present please refer to the Suppression and shorthand section in the Cover_sheet tab")</f>
        <v>If shorthand is present please refer to the Suppression and shorthand section in the Cover_sheet tab</v>
      </c>
    </row>
    <row r="6" spans="1:8" x14ac:dyDescent="0.25">
      <c r="A6" s="19" t="str">
        <f>HYPERLINK("#'Contents'!A1", "Return to table of contents")</f>
        <v>Return to table of contents</v>
      </c>
    </row>
    <row r="7" spans="1:8" x14ac:dyDescent="0.25">
      <c r="A7" t="s">
        <v>78</v>
      </c>
    </row>
    <row r="8" spans="1:8" ht="15.6" x14ac:dyDescent="0.3">
      <c r="A8" s="20" t="s">
        <v>79</v>
      </c>
    </row>
    <row r="9" spans="1:8" ht="15.6" x14ac:dyDescent="0.3">
      <c r="A9" s="20" t="s">
        <v>1</v>
      </c>
    </row>
    <row r="10" spans="1:8" ht="31.2" x14ac:dyDescent="0.3">
      <c r="A10" s="9" t="s">
        <v>80</v>
      </c>
      <c r="B10" s="9" t="s">
        <v>81</v>
      </c>
      <c r="C10" s="9" t="s">
        <v>82</v>
      </c>
      <c r="D10" s="10" t="s">
        <v>83</v>
      </c>
      <c r="E10" s="10" t="s">
        <v>84</v>
      </c>
      <c r="F10" s="10" t="s">
        <v>85</v>
      </c>
      <c r="G10" s="10" t="s">
        <v>20</v>
      </c>
      <c r="H10" s="10" t="s">
        <v>17</v>
      </c>
    </row>
    <row r="11" spans="1:8" x14ac:dyDescent="0.25">
      <c r="A11" s="3" t="s">
        <v>86</v>
      </c>
      <c r="B11" s="3" t="s">
        <v>87</v>
      </c>
      <c r="C11" s="3" t="s">
        <v>88</v>
      </c>
      <c r="D11" s="8">
        <v>82</v>
      </c>
      <c r="E11" s="17">
        <v>80</v>
      </c>
      <c r="F11" s="17">
        <v>83</v>
      </c>
      <c r="G11" s="11">
        <v>4600</v>
      </c>
      <c r="H11" s="11">
        <v>53839692</v>
      </c>
    </row>
    <row r="12" spans="1:8" x14ac:dyDescent="0.25">
      <c r="A12" s="3" t="s">
        <v>86</v>
      </c>
      <c r="B12" s="3" t="s">
        <v>87</v>
      </c>
      <c r="C12" s="3" t="s">
        <v>89</v>
      </c>
      <c r="D12" s="8">
        <v>18</v>
      </c>
      <c r="E12" s="17">
        <v>17</v>
      </c>
      <c r="F12" s="17">
        <v>20</v>
      </c>
      <c r="G12" s="11">
        <v>4600</v>
      </c>
      <c r="H12" s="11">
        <v>53839692</v>
      </c>
    </row>
    <row r="13" spans="1:8" ht="35.700000000000003" customHeight="1" x14ac:dyDescent="0.25">
      <c r="A13" s="3" t="s">
        <v>90</v>
      </c>
      <c r="B13" s="3" t="s">
        <v>91</v>
      </c>
      <c r="C13" s="3" t="s">
        <v>88</v>
      </c>
      <c r="D13" s="8">
        <v>74</v>
      </c>
      <c r="E13" s="17">
        <v>68</v>
      </c>
      <c r="F13" s="17">
        <v>80</v>
      </c>
      <c r="G13" s="11">
        <v>260</v>
      </c>
      <c r="H13" s="11">
        <v>9933335</v>
      </c>
    </row>
    <row r="14" spans="1:8" x14ac:dyDescent="0.25">
      <c r="A14" s="3" t="s">
        <v>90</v>
      </c>
      <c r="B14" s="3" t="s">
        <v>91</v>
      </c>
      <c r="C14" s="3" t="s">
        <v>89</v>
      </c>
      <c r="D14" s="8">
        <v>26</v>
      </c>
      <c r="E14" s="17">
        <v>20</v>
      </c>
      <c r="F14" s="17">
        <v>32</v>
      </c>
      <c r="G14" s="11">
        <v>260</v>
      </c>
      <c r="H14" s="11">
        <v>9933335</v>
      </c>
    </row>
    <row r="15" spans="1:8" ht="35.700000000000003" customHeight="1" x14ac:dyDescent="0.25">
      <c r="A15" s="3" t="s">
        <v>90</v>
      </c>
      <c r="B15" s="3" t="s">
        <v>92</v>
      </c>
      <c r="C15" s="3" t="s">
        <v>88</v>
      </c>
      <c r="D15" s="8">
        <v>80</v>
      </c>
      <c r="E15" s="17">
        <v>76</v>
      </c>
      <c r="F15" s="17">
        <v>83</v>
      </c>
      <c r="G15" s="11">
        <v>660</v>
      </c>
      <c r="H15" s="11">
        <v>18076707</v>
      </c>
    </row>
    <row r="16" spans="1:8" x14ac:dyDescent="0.25">
      <c r="A16" s="3" t="s">
        <v>90</v>
      </c>
      <c r="B16" s="3" t="s">
        <v>92</v>
      </c>
      <c r="C16" s="3" t="s">
        <v>89</v>
      </c>
      <c r="D16" s="8">
        <v>20</v>
      </c>
      <c r="E16" s="17">
        <v>17</v>
      </c>
      <c r="F16" s="17">
        <v>24</v>
      </c>
      <c r="G16" s="11">
        <v>660</v>
      </c>
      <c r="H16" s="11">
        <v>18076707</v>
      </c>
    </row>
    <row r="17" spans="1:8" ht="35.700000000000003" customHeight="1" x14ac:dyDescent="0.25">
      <c r="A17" s="3" t="s">
        <v>90</v>
      </c>
      <c r="B17" s="3" t="s">
        <v>93</v>
      </c>
      <c r="C17" s="3" t="s">
        <v>88</v>
      </c>
      <c r="D17" s="8">
        <v>82</v>
      </c>
      <c r="E17" s="17">
        <v>80</v>
      </c>
      <c r="F17" s="17">
        <v>85</v>
      </c>
      <c r="G17" s="11">
        <v>1710</v>
      </c>
      <c r="H17" s="11">
        <v>16663078</v>
      </c>
    </row>
    <row r="18" spans="1:8" x14ac:dyDescent="0.25">
      <c r="A18" s="3" t="s">
        <v>90</v>
      </c>
      <c r="B18" s="3" t="s">
        <v>93</v>
      </c>
      <c r="C18" s="3" t="s">
        <v>89</v>
      </c>
      <c r="D18" s="8">
        <v>18</v>
      </c>
      <c r="E18" s="17">
        <v>15</v>
      </c>
      <c r="F18" s="17">
        <v>20</v>
      </c>
      <c r="G18" s="11">
        <v>1710</v>
      </c>
      <c r="H18" s="11">
        <v>16663078</v>
      </c>
    </row>
    <row r="19" spans="1:8" ht="35.700000000000003" customHeight="1" x14ac:dyDescent="0.25">
      <c r="A19" s="3" t="s">
        <v>90</v>
      </c>
      <c r="B19" s="3" t="s">
        <v>94</v>
      </c>
      <c r="C19" s="3" t="s">
        <v>88</v>
      </c>
      <c r="D19" s="8">
        <v>92</v>
      </c>
      <c r="E19" s="17">
        <v>90</v>
      </c>
      <c r="F19" s="17">
        <v>93</v>
      </c>
      <c r="G19" s="11">
        <v>1960</v>
      </c>
      <c r="H19" s="11">
        <v>9166573</v>
      </c>
    </row>
    <row r="20" spans="1:8" x14ac:dyDescent="0.25">
      <c r="A20" s="3" t="s">
        <v>90</v>
      </c>
      <c r="B20" s="3" t="s">
        <v>94</v>
      </c>
      <c r="C20" s="3" t="s">
        <v>89</v>
      </c>
      <c r="D20" s="8">
        <v>8</v>
      </c>
      <c r="E20" s="17">
        <v>7</v>
      </c>
      <c r="F20" s="17">
        <v>10</v>
      </c>
      <c r="G20" s="11">
        <v>1960</v>
      </c>
      <c r="H20" s="11">
        <v>9166573</v>
      </c>
    </row>
    <row r="21" spans="1:8" ht="35.700000000000003" customHeight="1" x14ac:dyDescent="0.25">
      <c r="A21" s="3" t="s">
        <v>95</v>
      </c>
      <c r="B21" s="3" t="s">
        <v>96</v>
      </c>
      <c r="C21" s="3" t="s">
        <v>88</v>
      </c>
      <c r="D21" s="8">
        <v>83</v>
      </c>
      <c r="E21" s="17">
        <v>80</v>
      </c>
      <c r="F21" s="17">
        <v>85</v>
      </c>
      <c r="G21" s="11">
        <v>2290</v>
      </c>
      <c r="H21" s="11">
        <v>26138394</v>
      </c>
    </row>
    <row r="22" spans="1:8" x14ac:dyDescent="0.25">
      <c r="A22" s="3" t="s">
        <v>95</v>
      </c>
      <c r="B22" s="3" t="s">
        <v>96</v>
      </c>
      <c r="C22" s="3" t="s">
        <v>89</v>
      </c>
      <c r="D22" s="8">
        <v>17</v>
      </c>
      <c r="E22" s="17">
        <v>15</v>
      </c>
      <c r="F22" s="17">
        <v>20</v>
      </c>
      <c r="G22" s="11">
        <v>2290</v>
      </c>
      <c r="H22" s="11">
        <v>26138394</v>
      </c>
    </row>
    <row r="23" spans="1:8" ht="35.700000000000003" customHeight="1" x14ac:dyDescent="0.25">
      <c r="A23" s="3" t="s">
        <v>95</v>
      </c>
      <c r="B23" s="3" t="s">
        <v>97</v>
      </c>
      <c r="C23" s="3" t="s">
        <v>88</v>
      </c>
      <c r="D23" s="8">
        <v>80</v>
      </c>
      <c r="E23" s="17">
        <v>78</v>
      </c>
      <c r="F23" s="17">
        <v>83</v>
      </c>
      <c r="G23" s="11">
        <v>2320</v>
      </c>
      <c r="H23" s="11">
        <v>27701298</v>
      </c>
    </row>
    <row r="24" spans="1:8" x14ac:dyDescent="0.25">
      <c r="A24" s="3" t="s">
        <v>95</v>
      </c>
      <c r="B24" s="3" t="s">
        <v>97</v>
      </c>
      <c r="C24" s="3" t="s">
        <v>89</v>
      </c>
      <c r="D24" s="8">
        <v>20</v>
      </c>
      <c r="E24" s="17">
        <v>17</v>
      </c>
      <c r="F24" s="17">
        <v>22</v>
      </c>
      <c r="G24" s="11">
        <v>2320</v>
      </c>
      <c r="H24" s="11">
        <v>27701298</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9"/>
  <sheetViews>
    <sheetView workbookViewId="0">
      <selection activeCell="D105" sqref="D105"/>
    </sheetView>
  </sheetViews>
  <sheetFormatPr defaultColWidth="10.90625" defaultRowHeight="15" x14ac:dyDescent="0.25"/>
  <cols>
    <col min="1" max="1" width="17.81640625" customWidth="1"/>
    <col min="2" max="2" width="23.6328125" customWidth="1"/>
    <col min="3" max="3" width="41.54296875" customWidth="1"/>
    <col min="4" max="8" width="16.81640625" customWidth="1"/>
  </cols>
  <sheetData>
    <row r="1" spans="1:8" ht="21" x14ac:dyDescent="0.4">
      <c r="A1" s="5" t="s">
        <v>98</v>
      </c>
    </row>
    <row r="2" spans="1:8" ht="16.8" x14ac:dyDescent="0.3">
      <c r="A2" s="21" t="s">
        <v>76</v>
      </c>
    </row>
    <row r="3" spans="1:8" x14ac:dyDescent="0.25">
      <c r="A3" t="s">
        <v>37</v>
      </c>
    </row>
    <row r="4" spans="1:8" x14ac:dyDescent="0.25">
      <c r="A4" t="s">
        <v>77</v>
      </c>
    </row>
    <row r="5" spans="1:8" x14ac:dyDescent="0.25">
      <c r="A5" s="25" t="str">
        <f>HYPERLINK("#'Cover'!A29", "If shorthand is present please refer to the Suppression and shorthand section in the Cover_sheet tab")</f>
        <v>If shorthand is present please refer to the Suppression and shorthand section in the Cover_sheet tab</v>
      </c>
    </row>
    <row r="6" spans="1:8" x14ac:dyDescent="0.25">
      <c r="A6" s="19" t="str">
        <f>HYPERLINK("#'Contents'!A1", "Return to table of contents")</f>
        <v>Return to table of contents</v>
      </c>
    </row>
    <row r="7" spans="1:8" x14ac:dyDescent="0.25">
      <c r="A7" t="s">
        <v>78</v>
      </c>
    </row>
    <row r="8" spans="1:8" ht="15.6" x14ac:dyDescent="0.3">
      <c r="A8" s="20" t="s">
        <v>99</v>
      </c>
    </row>
    <row r="9" spans="1:8" ht="15.6" x14ac:dyDescent="0.3">
      <c r="A9" s="20" t="s">
        <v>1</v>
      </c>
    </row>
    <row r="10" spans="1:8" ht="31.2" x14ac:dyDescent="0.3">
      <c r="A10" s="9" t="s">
        <v>80</v>
      </c>
      <c r="B10" s="9" t="s">
        <v>81</v>
      </c>
      <c r="C10" s="9" t="s">
        <v>82</v>
      </c>
      <c r="D10" s="10" t="s">
        <v>83</v>
      </c>
      <c r="E10" s="10" t="s">
        <v>84</v>
      </c>
      <c r="F10" s="10" t="s">
        <v>85</v>
      </c>
      <c r="G10" s="10" t="s">
        <v>20</v>
      </c>
      <c r="H10" s="10" t="s">
        <v>17</v>
      </c>
    </row>
    <row r="11" spans="1:8" x14ac:dyDescent="0.25">
      <c r="A11" s="3" t="s">
        <v>86</v>
      </c>
      <c r="B11" s="3" t="s">
        <v>87</v>
      </c>
      <c r="C11" s="3" t="s">
        <v>100</v>
      </c>
      <c r="D11" s="8">
        <v>42</v>
      </c>
      <c r="E11" s="17">
        <v>40</v>
      </c>
      <c r="F11" s="17">
        <v>44</v>
      </c>
      <c r="G11" s="11">
        <v>4620</v>
      </c>
      <c r="H11" s="11">
        <v>53951153</v>
      </c>
    </row>
    <row r="12" spans="1:8" x14ac:dyDescent="0.25">
      <c r="A12" s="3" t="s">
        <v>86</v>
      </c>
      <c r="B12" s="3" t="s">
        <v>87</v>
      </c>
      <c r="C12" s="3" t="s">
        <v>101</v>
      </c>
      <c r="D12" s="8">
        <v>42</v>
      </c>
      <c r="E12" s="17">
        <v>39</v>
      </c>
      <c r="F12" s="17">
        <v>44</v>
      </c>
      <c r="G12" s="11">
        <v>4620</v>
      </c>
      <c r="H12" s="11">
        <v>53951153</v>
      </c>
    </row>
    <row r="13" spans="1:8" x14ac:dyDescent="0.25">
      <c r="A13" s="3" t="s">
        <v>86</v>
      </c>
      <c r="B13" s="3" t="s">
        <v>87</v>
      </c>
      <c r="C13" s="3" t="s">
        <v>102</v>
      </c>
      <c r="D13" s="8">
        <v>27</v>
      </c>
      <c r="E13" s="17">
        <v>25</v>
      </c>
      <c r="F13" s="17">
        <v>29</v>
      </c>
      <c r="G13" s="11">
        <v>4620</v>
      </c>
      <c r="H13" s="11">
        <v>53951153</v>
      </c>
    </row>
    <row r="14" spans="1:8" x14ac:dyDescent="0.25">
      <c r="A14" s="3" t="s">
        <v>86</v>
      </c>
      <c r="B14" s="3" t="s">
        <v>87</v>
      </c>
      <c r="C14" s="3" t="s">
        <v>103</v>
      </c>
      <c r="D14" s="8">
        <v>14</v>
      </c>
      <c r="E14" s="17">
        <v>12</v>
      </c>
      <c r="F14" s="17">
        <v>16</v>
      </c>
      <c r="G14" s="11">
        <v>4620</v>
      </c>
      <c r="H14" s="11">
        <v>53951153</v>
      </c>
    </row>
    <row r="15" spans="1:8" x14ac:dyDescent="0.25">
      <c r="A15" s="3" t="s">
        <v>86</v>
      </c>
      <c r="B15" s="3" t="s">
        <v>87</v>
      </c>
      <c r="C15" s="3" t="s">
        <v>104</v>
      </c>
      <c r="D15" s="8">
        <v>16</v>
      </c>
      <c r="E15" s="17">
        <v>14</v>
      </c>
      <c r="F15" s="17">
        <v>18</v>
      </c>
      <c r="G15" s="11">
        <v>4620</v>
      </c>
      <c r="H15" s="11">
        <v>53951153</v>
      </c>
    </row>
    <row r="16" spans="1:8" x14ac:dyDescent="0.25">
      <c r="A16" s="3" t="s">
        <v>86</v>
      </c>
      <c r="B16" s="3" t="s">
        <v>87</v>
      </c>
      <c r="C16" s="3" t="s">
        <v>105</v>
      </c>
      <c r="D16" s="8">
        <v>28</v>
      </c>
      <c r="E16" s="17">
        <v>26</v>
      </c>
      <c r="F16" s="17">
        <v>30</v>
      </c>
      <c r="G16" s="11">
        <v>4620</v>
      </c>
      <c r="H16" s="11">
        <v>53951153</v>
      </c>
    </row>
    <row r="17" spans="1:8" x14ac:dyDescent="0.25">
      <c r="A17" s="3" t="s">
        <v>86</v>
      </c>
      <c r="B17" s="3" t="s">
        <v>87</v>
      </c>
      <c r="C17" s="3" t="s">
        <v>106</v>
      </c>
      <c r="D17" s="8">
        <v>44</v>
      </c>
      <c r="E17" s="17">
        <v>42</v>
      </c>
      <c r="F17" s="17">
        <v>46</v>
      </c>
      <c r="G17" s="11">
        <v>4620</v>
      </c>
      <c r="H17" s="11">
        <v>53951153</v>
      </c>
    </row>
    <row r="18" spans="1:8" x14ac:dyDescent="0.25">
      <c r="A18" s="3" t="s">
        <v>86</v>
      </c>
      <c r="B18" s="3" t="s">
        <v>87</v>
      </c>
      <c r="C18" s="3" t="s">
        <v>107</v>
      </c>
      <c r="D18" s="8">
        <v>13</v>
      </c>
      <c r="E18" s="17">
        <v>11</v>
      </c>
      <c r="F18" s="17">
        <v>15</v>
      </c>
      <c r="G18" s="11">
        <v>4620</v>
      </c>
      <c r="H18" s="11">
        <v>53951153</v>
      </c>
    </row>
    <row r="19" spans="1:8" x14ac:dyDescent="0.25">
      <c r="A19" s="3" t="s">
        <v>86</v>
      </c>
      <c r="B19" s="3" t="s">
        <v>87</v>
      </c>
      <c r="C19" s="3" t="s">
        <v>108</v>
      </c>
      <c r="D19" s="8">
        <v>22</v>
      </c>
      <c r="E19" s="17">
        <v>20</v>
      </c>
      <c r="F19" s="17">
        <v>24</v>
      </c>
      <c r="G19" s="11">
        <v>4620</v>
      </c>
      <c r="H19" s="11">
        <v>53951153</v>
      </c>
    </row>
    <row r="20" spans="1:8" x14ac:dyDescent="0.25">
      <c r="A20" s="3" t="s">
        <v>86</v>
      </c>
      <c r="B20" s="3" t="s">
        <v>87</v>
      </c>
      <c r="C20" s="3" t="s">
        <v>109</v>
      </c>
      <c r="D20" s="8">
        <v>6</v>
      </c>
      <c r="E20" s="17">
        <v>5</v>
      </c>
      <c r="F20" s="17">
        <v>7</v>
      </c>
      <c r="G20" s="11">
        <v>4620</v>
      </c>
      <c r="H20" s="11">
        <v>53951153</v>
      </c>
    </row>
    <row r="21" spans="1:8" x14ac:dyDescent="0.25">
      <c r="A21" s="3" t="s">
        <v>86</v>
      </c>
      <c r="B21" s="3" t="s">
        <v>87</v>
      </c>
      <c r="C21" s="3" t="s">
        <v>110</v>
      </c>
      <c r="D21" s="8">
        <v>15</v>
      </c>
      <c r="E21" s="17">
        <v>13</v>
      </c>
      <c r="F21" s="17">
        <v>16</v>
      </c>
      <c r="G21" s="11">
        <v>4620</v>
      </c>
      <c r="H21" s="11">
        <v>53951153</v>
      </c>
    </row>
    <row r="22" spans="1:8" ht="35.700000000000003" customHeight="1" x14ac:dyDescent="0.25">
      <c r="A22" s="3" t="s">
        <v>90</v>
      </c>
      <c r="B22" s="3" t="s">
        <v>91</v>
      </c>
      <c r="C22" s="3" t="s">
        <v>100</v>
      </c>
      <c r="D22" s="8">
        <v>46</v>
      </c>
      <c r="E22" s="17">
        <v>39</v>
      </c>
      <c r="F22" s="17">
        <v>52</v>
      </c>
      <c r="G22" s="11">
        <v>260</v>
      </c>
      <c r="H22" s="11">
        <v>9933335</v>
      </c>
    </row>
    <row r="23" spans="1:8" x14ac:dyDescent="0.25">
      <c r="A23" s="3" t="s">
        <v>90</v>
      </c>
      <c r="B23" s="3" t="s">
        <v>91</v>
      </c>
      <c r="C23" s="3" t="s">
        <v>101</v>
      </c>
      <c r="D23" s="8">
        <v>29</v>
      </c>
      <c r="E23" s="17">
        <v>23</v>
      </c>
      <c r="F23" s="17">
        <v>35</v>
      </c>
      <c r="G23" s="11">
        <v>260</v>
      </c>
      <c r="H23" s="11">
        <v>9933335</v>
      </c>
    </row>
    <row r="24" spans="1:8" x14ac:dyDescent="0.25">
      <c r="A24" s="3" t="s">
        <v>90</v>
      </c>
      <c r="B24" s="3" t="s">
        <v>91</v>
      </c>
      <c r="C24" s="3" t="s">
        <v>102</v>
      </c>
      <c r="D24" s="8">
        <v>42</v>
      </c>
      <c r="E24" s="17">
        <v>35</v>
      </c>
      <c r="F24" s="17">
        <v>48</v>
      </c>
      <c r="G24" s="11">
        <v>260</v>
      </c>
      <c r="H24" s="11">
        <v>9933335</v>
      </c>
    </row>
    <row r="25" spans="1:8" x14ac:dyDescent="0.25">
      <c r="A25" s="3" t="s">
        <v>90</v>
      </c>
      <c r="B25" s="3" t="s">
        <v>91</v>
      </c>
      <c r="C25" s="3" t="s">
        <v>103</v>
      </c>
      <c r="D25" s="8">
        <v>38</v>
      </c>
      <c r="E25" s="17">
        <v>32</v>
      </c>
      <c r="F25" s="17">
        <v>45</v>
      </c>
      <c r="G25" s="11">
        <v>260</v>
      </c>
      <c r="H25" s="11">
        <v>9933335</v>
      </c>
    </row>
    <row r="26" spans="1:8" x14ac:dyDescent="0.25">
      <c r="A26" s="3" t="s">
        <v>90</v>
      </c>
      <c r="B26" s="3" t="s">
        <v>91</v>
      </c>
      <c r="C26" s="3" t="s">
        <v>104</v>
      </c>
      <c r="D26" s="8">
        <v>23</v>
      </c>
      <c r="E26" s="17">
        <v>17</v>
      </c>
      <c r="F26" s="17">
        <v>28</v>
      </c>
      <c r="G26" s="11">
        <v>260</v>
      </c>
      <c r="H26" s="11">
        <v>9933335</v>
      </c>
    </row>
    <row r="27" spans="1:8" x14ac:dyDescent="0.25">
      <c r="A27" s="3" t="s">
        <v>90</v>
      </c>
      <c r="B27" s="3" t="s">
        <v>91</v>
      </c>
      <c r="C27" s="3" t="s">
        <v>105</v>
      </c>
      <c r="D27" s="8">
        <v>41</v>
      </c>
      <c r="E27" s="17">
        <v>35</v>
      </c>
      <c r="F27" s="17">
        <v>48</v>
      </c>
      <c r="G27" s="11">
        <v>260</v>
      </c>
      <c r="H27" s="11">
        <v>9933335</v>
      </c>
    </row>
    <row r="28" spans="1:8" x14ac:dyDescent="0.25">
      <c r="A28" s="3" t="s">
        <v>90</v>
      </c>
      <c r="B28" s="3" t="s">
        <v>91</v>
      </c>
      <c r="C28" s="3" t="s">
        <v>106</v>
      </c>
      <c r="D28" s="8">
        <v>43</v>
      </c>
      <c r="E28" s="17">
        <v>36</v>
      </c>
      <c r="F28" s="17">
        <v>50</v>
      </c>
      <c r="G28" s="11">
        <v>260</v>
      </c>
      <c r="H28" s="11">
        <v>9933335</v>
      </c>
    </row>
    <row r="29" spans="1:8" x14ac:dyDescent="0.25">
      <c r="A29" s="3" t="s">
        <v>90</v>
      </c>
      <c r="B29" s="3" t="s">
        <v>91</v>
      </c>
      <c r="C29" s="3" t="s">
        <v>107</v>
      </c>
      <c r="D29" s="8">
        <v>14</v>
      </c>
      <c r="E29" s="17">
        <v>10</v>
      </c>
      <c r="F29" s="17">
        <v>19</v>
      </c>
      <c r="G29" s="11">
        <v>260</v>
      </c>
      <c r="H29" s="11">
        <v>9933335</v>
      </c>
    </row>
    <row r="30" spans="1:8" x14ac:dyDescent="0.25">
      <c r="A30" s="3" t="s">
        <v>90</v>
      </c>
      <c r="B30" s="3" t="s">
        <v>91</v>
      </c>
      <c r="C30" s="3" t="s">
        <v>108</v>
      </c>
      <c r="D30" s="8">
        <v>27</v>
      </c>
      <c r="E30" s="17">
        <v>21</v>
      </c>
      <c r="F30" s="17">
        <v>33</v>
      </c>
      <c r="G30" s="11">
        <v>260</v>
      </c>
      <c r="H30" s="11">
        <v>9933335</v>
      </c>
    </row>
    <row r="31" spans="1:8" x14ac:dyDescent="0.25">
      <c r="A31" s="3" t="s">
        <v>90</v>
      </c>
      <c r="B31" s="3" t="s">
        <v>91</v>
      </c>
      <c r="C31" s="3" t="s">
        <v>109</v>
      </c>
      <c r="D31" s="8">
        <v>3</v>
      </c>
      <c r="E31" s="17">
        <v>1</v>
      </c>
      <c r="F31" s="17">
        <v>5</v>
      </c>
      <c r="G31" s="11">
        <v>260</v>
      </c>
      <c r="H31" s="11">
        <v>9933335</v>
      </c>
    </row>
    <row r="32" spans="1:8" x14ac:dyDescent="0.25">
      <c r="A32" s="3" t="s">
        <v>90</v>
      </c>
      <c r="B32" s="3" t="s">
        <v>91</v>
      </c>
      <c r="C32" s="3" t="s">
        <v>110</v>
      </c>
      <c r="D32" s="8">
        <v>13</v>
      </c>
      <c r="E32" s="17">
        <v>8</v>
      </c>
      <c r="F32" s="17">
        <v>17</v>
      </c>
      <c r="G32" s="11">
        <v>260</v>
      </c>
      <c r="H32" s="11">
        <v>9933335</v>
      </c>
    </row>
    <row r="33" spans="1:8" ht="35.700000000000003" customHeight="1" x14ac:dyDescent="0.25">
      <c r="A33" s="3" t="s">
        <v>90</v>
      </c>
      <c r="B33" s="3" t="s">
        <v>92</v>
      </c>
      <c r="C33" s="3" t="s">
        <v>100</v>
      </c>
      <c r="D33" s="8">
        <v>52</v>
      </c>
      <c r="E33" s="17">
        <v>48</v>
      </c>
      <c r="F33" s="17">
        <v>57</v>
      </c>
      <c r="G33" s="11">
        <v>670</v>
      </c>
      <c r="H33" s="11">
        <v>18137191</v>
      </c>
    </row>
    <row r="34" spans="1:8" x14ac:dyDescent="0.25">
      <c r="A34" s="3" t="s">
        <v>90</v>
      </c>
      <c r="B34" s="3" t="s">
        <v>92</v>
      </c>
      <c r="C34" s="3" t="s">
        <v>101</v>
      </c>
      <c r="D34" s="8">
        <v>41</v>
      </c>
      <c r="E34" s="17">
        <v>37</v>
      </c>
      <c r="F34" s="17">
        <v>46</v>
      </c>
      <c r="G34" s="11">
        <v>670</v>
      </c>
      <c r="H34" s="11">
        <v>18137191</v>
      </c>
    </row>
    <row r="35" spans="1:8" x14ac:dyDescent="0.25">
      <c r="A35" s="3" t="s">
        <v>90</v>
      </c>
      <c r="B35" s="3" t="s">
        <v>92</v>
      </c>
      <c r="C35" s="3" t="s">
        <v>102</v>
      </c>
      <c r="D35" s="8">
        <v>38</v>
      </c>
      <c r="E35" s="17">
        <v>34</v>
      </c>
      <c r="F35" s="17">
        <v>42</v>
      </c>
      <c r="G35" s="11">
        <v>670</v>
      </c>
      <c r="H35" s="11">
        <v>18137191</v>
      </c>
    </row>
    <row r="36" spans="1:8" x14ac:dyDescent="0.25">
      <c r="A36" s="3" t="s">
        <v>90</v>
      </c>
      <c r="B36" s="3" t="s">
        <v>92</v>
      </c>
      <c r="C36" s="3" t="s">
        <v>103</v>
      </c>
      <c r="D36" s="8">
        <v>14</v>
      </c>
      <c r="E36" s="17">
        <v>11</v>
      </c>
      <c r="F36" s="17">
        <v>17</v>
      </c>
      <c r="G36" s="11">
        <v>670</v>
      </c>
      <c r="H36" s="11">
        <v>18137191</v>
      </c>
    </row>
    <row r="37" spans="1:8" x14ac:dyDescent="0.25">
      <c r="A37" s="3" t="s">
        <v>90</v>
      </c>
      <c r="B37" s="3" t="s">
        <v>92</v>
      </c>
      <c r="C37" s="3" t="s">
        <v>104</v>
      </c>
      <c r="D37" s="8">
        <v>21</v>
      </c>
      <c r="E37" s="17">
        <v>17</v>
      </c>
      <c r="F37" s="17">
        <v>24</v>
      </c>
      <c r="G37" s="11">
        <v>670</v>
      </c>
      <c r="H37" s="11">
        <v>18137191</v>
      </c>
    </row>
    <row r="38" spans="1:8" x14ac:dyDescent="0.25">
      <c r="A38" s="3" t="s">
        <v>90</v>
      </c>
      <c r="B38" s="3" t="s">
        <v>92</v>
      </c>
      <c r="C38" s="3" t="s">
        <v>105</v>
      </c>
      <c r="D38" s="8">
        <v>31</v>
      </c>
      <c r="E38" s="17">
        <v>27</v>
      </c>
      <c r="F38" s="17">
        <v>35</v>
      </c>
      <c r="G38" s="11">
        <v>670</v>
      </c>
      <c r="H38" s="11">
        <v>18137191</v>
      </c>
    </row>
    <row r="39" spans="1:8" x14ac:dyDescent="0.25">
      <c r="A39" s="3" t="s">
        <v>90</v>
      </c>
      <c r="B39" s="3" t="s">
        <v>92</v>
      </c>
      <c r="C39" s="3" t="s">
        <v>106</v>
      </c>
      <c r="D39" s="8">
        <v>45</v>
      </c>
      <c r="E39" s="17">
        <v>40</v>
      </c>
      <c r="F39" s="17">
        <v>49</v>
      </c>
      <c r="G39" s="11">
        <v>670</v>
      </c>
      <c r="H39" s="11">
        <v>18137191</v>
      </c>
    </row>
    <row r="40" spans="1:8" x14ac:dyDescent="0.25">
      <c r="A40" s="3" t="s">
        <v>90</v>
      </c>
      <c r="B40" s="3" t="s">
        <v>92</v>
      </c>
      <c r="C40" s="3" t="s">
        <v>107</v>
      </c>
      <c r="D40" s="8">
        <v>14</v>
      </c>
      <c r="E40" s="17">
        <v>11</v>
      </c>
      <c r="F40" s="17">
        <v>18</v>
      </c>
      <c r="G40" s="11">
        <v>670</v>
      </c>
      <c r="H40" s="11">
        <v>18137191</v>
      </c>
    </row>
    <row r="41" spans="1:8" x14ac:dyDescent="0.25">
      <c r="A41" s="3" t="s">
        <v>90</v>
      </c>
      <c r="B41" s="3" t="s">
        <v>92</v>
      </c>
      <c r="C41" s="3" t="s">
        <v>108</v>
      </c>
      <c r="D41" s="8">
        <v>22</v>
      </c>
      <c r="E41" s="17">
        <v>18</v>
      </c>
      <c r="F41" s="17">
        <v>26</v>
      </c>
      <c r="G41" s="11">
        <v>670</v>
      </c>
      <c r="H41" s="11">
        <v>18137191</v>
      </c>
    </row>
    <row r="42" spans="1:8" x14ac:dyDescent="0.25">
      <c r="A42" s="3" t="s">
        <v>90</v>
      </c>
      <c r="B42" s="3" t="s">
        <v>92</v>
      </c>
      <c r="C42" s="3" t="s">
        <v>109</v>
      </c>
      <c r="D42" s="8">
        <v>6</v>
      </c>
      <c r="E42" s="17">
        <v>4</v>
      </c>
      <c r="F42" s="17">
        <v>8</v>
      </c>
      <c r="G42" s="11">
        <v>670</v>
      </c>
      <c r="H42" s="11">
        <v>18137191</v>
      </c>
    </row>
    <row r="43" spans="1:8" x14ac:dyDescent="0.25">
      <c r="A43" s="3" t="s">
        <v>90</v>
      </c>
      <c r="B43" s="3" t="s">
        <v>92</v>
      </c>
      <c r="C43" s="3" t="s">
        <v>110</v>
      </c>
      <c r="D43" s="8">
        <v>11</v>
      </c>
      <c r="E43" s="17">
        <v>8</v>
      </c>
      <c r="F43" s="17">
        <v>14</v>
      </c>
      <c r="G43" s="11">
        <v>670</v>
      </c>
      <c r="H43" s="11">
        <v>18137191</v>
      </c>
    </row>
    <row r="44" spans="1:8" ht="35.700000000000003" customHeight="1" x14ac:dyDescent="0.25">
      <c r="A44" s="3" t="s">
        <v>90</v>
      </c>
      <c r="B44" s="3" t="s">
        <v>93</v>
      </c>
      <c r="C44" s="3" t="s">
        <v>100</v>
      </c>
      <c r="D44" s="8">
        <v>40</v>
      </c>
      <c r="E44" s="17">
        <v>36</v>
      </c>
      <c r="F44" s="17">
        <v>43</v>
      </c>
      <c r="G44" s="11">
        <v>1720</v>
      </c>
      <c r="H44" s="11">
        <v>16678195</v>
      </c>
    </row>
    <row r="45" spans="1:8" x14ac:dyDescent="0.25">
      <c r="A45" s="3" t="s">
        <v>90</v>
      </c>
      <c r="B45" s="3" t="s">
        <v>93</v>
      </c>
      <c r="C45" s="3" t="s">
        <v>101</v>
      </c>
      <c r="D45" s="8">
        <v>44</v>
      </c>
      <c r="E45" s="17">
        <v>41</v>
      </c>
      <c r="F45" s="17">
        <v>48</v>
      </c>
      <c r="G45" s="11">
        <v>1720</v>
      </c>
      <c r="H45" s="11">
        <v>16678195</v>
      </c>
    </row>
    <row r="46" spans="1:8" x14ac:dyDescent="0.25">
      <c r="A46" s="3" t="s">
        <v>90</v>
      </c>
      <c r="B46" s="3" t="s">
        <v>93</v>
      </c>
      <c r="C46" s="3" t="s">
        <v>102</v>
      </c>
      <c r="D46" s="8">
        <v>19</v>
      </c>
      <c r="E46" s="17">
        <v>17</v>
      </c>
      <c r="F46" s="17">
        <v>22</v>
      </c>
      <c r="G46" s="11">
        <v>1720</v>
      </c>
      <c r="H46" s="11">
        <v>16678195</v>
      </c>
    </row>
    <row r="47" spans="1:8" x14ac:dyDescent="0.25">
      <c r="A47" s="3" t="s">
        <v>90</v>
      </c>
      <c r="B47" s="3" t="s">
        <v>93</v>
      </c>
      <c r="C47" s="3" t="s">
        <v>103</v>
      </c>
      <c r="D47" s="8">
        <v>5</v>
      </c>
      <c r="E47" s="17">
        <v>4</v>
      </c>
      <c r="F47" s="17">
        <v>7</v>
      </c>
      <c r="G47" s="11">
        <v>1720</v>
      </c>
      <c r="H47" s="11">
        <v>16678195</v>
      </c>
    </row>
    <row r="48" spans="1:8" x14ac:dyDescent="0.25">
      <c r="A48" s="3" t="s">
        <v>90</v>
      </c>
      <c r="B48" s="3" t="s">
        <v>93</v>
      </c>
      <c r="C48" s="3" t="s">
        <v>104</v>
      </c>
      <c r="D48" s="8">
        <v>12</v>
      </c>
      <c r="E48" s="17">
        <v>10</v>
      </c>
      <c r="F48" s="17">
        <v>15</v>
      </c>
      <c r="G48" s="11">
        <v>1720</v>
      </c>
      <c r="H48" s="11">
        <v>16678195</v>
      </c>
    </row>
    <row r="49" spans="1:8" x14ac:dyDescent="0.25">
      <c r="A49" s="3" t="s">
        <v>90</v>
      </c>
      <c r="B49" s="3" t="s">
        <v>93</v>
      </c>
      <c r="C49" s="3" t="s">
        <v>105</v>
      </c>
      <c r="D49" s="8">
        <v>25</v>
      </c>
      <c r="E49" s="17">
        <v>22</v>
      </c>
      <c r="F49" s="17">
        <v>28</v>
      </c>
      <c r="G49" s="11">
        <v>1720</v>
      </c>
      <c r="H49" s="11">
        <v>16678195</v>
      </c>
    </row>
    <row r="50" spans="1:8" x14ac:dyDescent="0.25">
      <c r="A50" s="3" t="s">
        <v>90</v>
      </c>
      <c r="B50" s="3" t="s">
        <v>93</v>
      </c>
      <c r="C50" s="3" t="s">
        <v>106</v>
      </c>
      <c r="D50" s="8">
        <v>42</v>
      </c>
      <c r="E50" s="17">
        <v>39</v>
      </c>
      <c r="F50" s="17">
        <v>46</v>
      </c>
      <c r="G50" s="11">
        <v>1720</v>
      </c>
      <c r="H50" s="11">
        <v>16678195</v>
      </c>
    </row>
    <row r="51" spans="1:8" x14ac:dyDescent="0.25">
      <c r="A51" s="3" t="s">
        <v>90</v>
      </c>
      <c r="B51" s="3" t="s">
        <v>93</v>
      </c>
      <c r="C51" s="3" t="s">
        <v>107</v>
      </c>
      <c r="D51" s="8">
        <v>13</v>
      </c>
      <c r="E51" s="17">
        <v>11</v>
      </c>
      <c r="F51" s="17">
        <v>15</v>
      </c>
      <c r="G51" s="11">
        <v>1720</v>
      </c>
      <c r="H51" s="11">
        <v>16678195</v>
      </c>
    </row>
    <row r="52" spans="1:8" x14ac:dyDescent="0.25">
      <c r="A52" s="3" t="s">
        <v>90</v>
      </c>
      <c r="B52" s="3" t="s">
        <v>93</v>
      </c>
      <c r="C52" s="3" t="s">
        <v>108</v>
      </c>
      <c r="D52" s="8">
        <v>19</v>
      </c>
      <c r="E52" s="17">
        <v>16</v>
      </c>
      <c r="F52" s="17">
        <v>21</v>
      </c>
      <c r="G52" s="11">
        <v>1720</v>
      </c>
      <c r="H52" s="11">
        <v>16678195</v>
      </c>
    </row>
    <row r="53" spans="1:8" x14ac:dyDescent="0.25">
      <c r="A53" s="3" t="s">
        <v>90</v>
      </c>
      <c r="B53" s="3" t="s">
        <v>93</v>
      </c>
      <c r="C53" s="3" t="s">
        <v>109</v>
      </c>
      <c r="D53" s="8">
        <v>7</v>
      </c>
      <c r="E53" s="17">
        <v>5</v>
      </c>
      <c r="F53" s="17">
        <v>9</v>
      </c>
      <c r="G53" s="11">
        <v>1720</v>
      </c>
      <c r="H53" s="11">
        <v>16678195</v>
      </c>
    </row>
    <row r="54" spans="1:8" x14ac:dyDescent="0.25">
      <c r="A54" s="3" t="s">
        <v>90</v>
      </c>
      <c r="B54" s="3" t="s">
        <v>93</v>
      </c>
      <c r="C54" s="3" t="s">
        <v>110</v>
      </c>
      <c r="D54" s="8">
        <v>17</v>
      </c>
      <c r="E54" s="17">
        <v>14</v>
      </c>
      <c r="F54" s="17">
        <v>20</v>
      </c>
      <c r="G54" s="11">
        <v>1720</v>
      </c>
      <c r="H54" s="11">
        <v>16678195</v>
      </c>
    </row>
    <row r="55" spans="1:8" ht="35.700000000000003" customHeight="1" x14ac:dyDescent="0.25">
      <c r="A55" s="3" t="s">
        <v>90</v>
      </c>
      <c r="B55" s="3" t="s">
        <v>94</v>
      </c>
      <c r="C55" s="3" t="s">
        <v>100</v>
      </c>
      <c r="D55" s="8">
        <v>21</v>
      </c>
      <c r="E55" s="17">
        <v>19</v>
      </c>
      <c r="F55" s="17">
        <v>23</v>
      </c>
      <c r="G55" s="11">
        <v>1970</v>
      </c>
      <c r="H55" s="11">
        <v>9202432</v>
      </c>
    </row>
    <row r="56" spans="1:8" x14ac:dyDescent="0.25">
      <c r="A56" s="3" t="s">
        <v>90</v>
      </c>
      <c r="B56" s="3" t="s">
        <v>94</v>
      </c>
      <c r="C56" s="3" t="s">
        <v>101</v>
      </c>
      <c r="D56" s="8">
        <v>50</v>
      </c>
      <c r="E56" s="17">
        <v>48</v>
      </c>
      <c r="F56" s="17">
        <v>53</v>
      </c>
      <c r="G56" s="11">
        <v>1970</v>
      </c>
      <c r="H56" s="11">
        <v>9202432</v>
      </c>
    </row>
    <row r="57" spans="1:8" x14ac:dyDescent="0.25">
      <c r="A57" s="3" t="s">
        <v>90</v>
      </c>
      <c r="B57" s="3" t="s">
        <v>94</v>
      </c>
      <c r="C57" s="3" t="s">
        <v>102</v>
      </c>
      <c r="D57" s="8">
        <v>3</v>
      </c>
      <c r="E57" s="17">
        <v>2</v>
      </c>
      <c r="F57" s="17">
        <v>3</v>
      </c>
      <c r="G57" s="11">
        <v>1970</v>
      </c>
      <c r="H57" s="11">
        <v>9202432</v>
      </c>
    </row>
    <row r="58" spans="1:8" x14ac:dyDescent="0.25">
      <c r="A58" s="3" t="s">
        <v>90</v>
      </c>
      <c r="B58" s="3" t="s">
        <v>94</v>
      </c>
      <c r="C58" s="3" t="s">
        <v>103</v>
      </c>
      <c r="D58" s="8">
        <v>4</v>
      </c>
      <c r="E58" s="17">
        <v>3</v>
      </c>
      <c r="F58" s="17">
        <v>5</v>
      </c>
      <c r="G58" s="11">
        <v>1970</v>
      </c>
      <c r="H58" s="11">
        <v>9202432</v>
      </c>
    </row>
    <row r="59" spans="1:8" x14ac:dyDescent="0.25">
      <c r="A59" s="3" t="s">
        <v>90</v>
      </c>
      <c r="B59" s="3" t="s">
        <v>94</v>
      </c>
      <c r="C59" s="3" t="s">
        <v>104</v>
      </c>
      <c r="D59" s="8">
        <v>6</v>
      </c>
      <c r="E59" s="17">
        <v>5</v>
      </c>
      <c r="F59" s="17">
        <v>7</v>
      </c>
      <c r="G59" s="11">
        <v>1970</v>
      </c>
      <c r="H59" s="11">
        <v>9202432</v>
      </c>
    </row>
    <row r="60" spans="1:8" x14ac:dyDescent="0.25">
      <c r="A60" s="3" t="s">
        <v>90</v>
      </c>
      <c r="B60" s="3" t="s">
        <v>94</v>
      </c>
      <c r="C60" s="3" t="s">
        <v>105</v>
      </c>
      <c r="D60" s="8">
        <v>14</v>
      </c>
      <c r="E60" s="17">
        <v>12</v>
      </c>
      <c r="F60" s="17">
        <v>16</v>
      </c>
      <c r="G60" s="11">
        <v>1970</v>
      </c>
      <c r="H60" s="11">
        <v>9202432</v>
      </c>
    </row>
    <row r="61" spans="1:8" x14ac:dyDescent="0.25">
      <c r="A61" s="3" t="s">
        <v>90</v>
      </c>
      <c r="B61" s="3" t="s">
        <v>94</v>
      </c>
      <c r="C61" s="3" t="s">
        <v>106</v>
      </c>
      <c r="D61" s="8">
        <v>45</v>
      </c>
      <c r="E61" s="17">
        <v>42</v>
      </c>
      <c r="F61" s="17">
        <v>48</v>
      </c>
      <c r="G61" s="11">
        <v>1970</v>
      </c>
      <c r="H61" s="11">
        <v>9202432</v>
      </c>
    </row>
    <row r="62" spans="1:8" x14ac:dyDescent="0.25">
      <c r="A62" s="3" t="s">
        <v>90</v>
      </c>
      <c r="B62" s="3" t="s">
        <v>94</v>
      </c>
      <c r="C62" s="3" t="s">
        <v>107</v>
      </c>
      <c r="D62" s="8">
        <v>10</v>
      </c>
      <c r="E62" s="17">
        <v>8</v>
      </c>
      <c r="F62" s="17">
        <v>11</v>
      </c>
      <c r="G62" s="11">
        <v>1970</v>
      </c>
      <c r="H62" s="11">
        <v>9202432</v>
      </c>
    </row>
    <row r="63" spans="1:8" x14ac:dyDescent="0.25">
      <c r="A63" s="3" t="s">
        <v>90</v>
      </c>
      <c r="B63" s="3" t="s">
        <v>94</v>
      </c>
      <c r="C63" s="3" t="s">
        <v>108</v>
      </c>
      <c r="D63" s="8">
        <v>23</v>
      </c>
      <c r="E63" s="17">
        <v>21</v>
      </c>
      <c r="F63" s="17">
        <v>26</v>
      </c>
      <c r="G63" s="11">
        <v>1970</v>
      </c>
      <c r="H63" s="11">
        <v>9202432</v>
      </c>
    </row>
    <row r="64" spans="1:8" x14ac:dyDescent="0.25">
      <c r="A64" s="3" t="s">
        <v>90</v>
      </c>
      <c r="B64" s="3" t="s">
        <v>94</v>
      </c>
      <c r="C64" s="3" t="s">
        <v>109</v>
      </c>
      <c r="D64" s="8">
        <v>6</v>
      </c>
      <c r="E64" s="17">
        <v>4</v>
      </c>
      <c r="F64" s="17">
        <v>7</v>
      </c>
      <c r="G64" s="11">
        <v>1970</v>
      </c>
      <c r="H64" s="11">
        <v>9202432</v>
      </c>
    </row>
    <row r="65" spans="1:8" x14ac:dyDescent="0.25">
      <c r="A65" s="3" t="s">
        <v>90</v>
      </c>
      <c r="B65" s="3" t="s">
        <v>94</v>
      </c>
      <c r="C65" s="3" t="s">
        <v>110</v>
      </c>
      <c r="D65" s="8">
        <v>20</v>
      </c>
      <c r="E65" s="17">
        <v>18</v>
      </c>
      <c r="F65" s="17">
        <v>22</v>
      </c>
      <c r="G65" s="11">
        <v>1970</v>
      </c>
      <c r="H65" s="11">
        <v>9202432</v>
      </c>
    </row>
    <row r="66" spans="1:8" ht="35.700000000000003" customHeight="1" x14ac:dyDescent="0.25">
      <c r="A66" s="3" t="s">
        <v>95</v>
      </c>
      <c r="B66" s="3" t="s">
        <v>96</v>
      </c>
      <c r="C66" s="3" t="s">
        <v>100</v>
      </c>
      <c r="D66" s="8">
        <v>41</v>
      </c>
      <c r="E66" s="17">
        <v>38</v>
      </c>
      <c r="F66" s="17">
        <v>45</v>
      </c>
      <c r="G66" s="11">
        <v>2290</v>
      </c>
      <c r="H66" s="11">
        <v>26197572</v>
      </c>
    </row>
    <row r="67" spans="1:8" x14ac:dyDescent="0.25">
      <c r="A67" s="3" t="s">
        <v>95</v>
      </c>
      <c r="B67" s="3" t="s">
        <v>96</v>
      </c>
      <c r="C67" s="3" t="s">
        <v>101</v>
      </c>
      <c r="D67" s="8">
        <v>39</v>
      </c>
      <c r="E67" s="17">
        <v>36</v>
      </c>
      <c r="F67" s="17">
        <v>42</v>
      </c>
      <c r="G67" s="11">
        <v>2290</v>
      </c>
      <c r="H67" s="11">
        <v>26197572</v>
      </c>
    </row>
    <row r="68" spans="1:8" x14ac:dyDescent="0.25">
      <c r="A68" s="3" t="s">
        <v>95</v>
      </c>
      <c r="B68" s="3" t="s">
        <v>96</v>
      </c>
      <c r="C68" s="3" t="s">
        <v>102</v>
      </c>
      <c r="D68" s="8">
        <v>28</v>
      </c>
      <c r="E68" s="17">
        <v>25</v>
      </c>
      <c r="F68" s="17">
        <v>31</v>
      </c>
      <c r="G68" s="11">
        <v>2290</v>
      </c>
      <c r="H68" s="11">
        <v>26197572</v>
      </c>
    </row>
    <row r="69" spans="1:8" x14ac:dyDescent="0.25">
      <c r="A69" s="3" t="s">
        <v>95</v>
      </c>
      <c r="B69" s="3" t="s">
        <v>96</v>
      </c>
      <c r="C69" s="3" t="s">
        <v>103</v>
      </c>
      <c r="D69" s="8">
        <v>11</v>
      </c>
      <c r="E69" s="17">
        <v>8</v>
      </c>
      <c r="F69" s="17">
        <v>13</v>
      </c>
      <c r="G69" s="11">
        <v>2290</v>
      </c>
      <c r="H69" s="11">
        <v>26197572</v>
      </c>
    </row>
    <row r="70" spans="1:8" x14ac:dyDescent="0.25">
      <c r="A70" s="3" t="s">
        <v>95</v>
      </c>
      <c r="B70" s="3" t="s">
        <v>96</v>
      </c>
      <c r="C70" s="3" t="s">
        <v>104</v>
      </c>
      <c r="D70" s="8">
        <v>15</v>
      </c>
      <c r="E70" s="17">
        <v>12</v>
      </c>
      <c r="F70" s="17">
        <v>18</v>
      </c>
      <c r="G70" s="11">
        <v>2290</v>
      </c>
      <c r="H70" s="11">
        <v>26197572</v>
      </c>
    </row>
    <row r="71" spans="1:8" x14ac:dyDescent="0.25">
      <c r="A71" s="3" t="s">
        <v>95</v>
      </c>
      <c r="B71" s="3" t="s">
        <v>96</v>
      </c>
      <c r="C71" s="3" t="s">
        <v>105</v>
      </c>
      <c r="D71" s="8">
        <v>25</v>
      </c>
      <c r="E71" s="17">
        <v>22</v>
      </c>
      <c r="F71" s="17">
        <v>28</v>
      </c>
      <c r="G71" s="11">
        <v>2290</v>
      </c>
      <c r="H71" s="11">
        <v>26197572</v>
      </c>
    </row>
    <row r="72" spans="1:8" x14ac:dyDescent="0.25">
      <c r="A72" s="3" t="s">
        <v>95</v>
      </c>
      <c r="B72" s="3" t="s">
        <v>96</v>
      </c>
      <c r="C72" s="3" t="s">
        <v>106</v>
      </c>
      <c r="D72" s="8">
        <v>48</v>
      </c>
      <c r="E72" s="17">
        <v>45</v>
      </c>
      <c r="F72" s="17">
        <v>52</v>
      </c>
      <c r="G72" s="11">
        <v>2290</v>
      </c>
      <c r="H72" s="11">
        <v>26197572</v>
      </c>
    </row>
    <row r="73" spans="1:8" x14ac:dyDescent="0.25">
      <c r="A73" s="3" t="s">
        <v>95</v>
      </c>
      <c r="B73" s="3" t="s">
        <v>96</v>
      </c>
      <c r="C73" s="3" t="s">
        <v>107</v>
      </c>
      <c r="D73" s="8">
        <v>15</v>
      </c>
      <c r="E73" s="17">
        <v>12</v>
      </c>
      <c r="F73" s="17">
        <v>17</v>
      </c>
      <c r="G73" s="11">
        <v>2290</v>
      </c>
      <c r="H73" s="11">
        <v>26197572</v>
      </c>
    </row>
    <row r="74" spans="1:8" x14ac:dyDescent="0.25">
      <c r="A74" s="3" t="s">
        <v>95</v>
      </c>
      <c r="B74" s="3" t="s">
        <v>96</v>
      </c>
      <c r="C74" s="3" t="s">
        <v>108</v>
      </c>
      <c r="D74" s="8">
        <v>22</v>
      </c>
      <c r="E74" s="17">
        <v>19</v>
      </c>
      <c r="F74" s="17">
        <v>25</v>
      </c>
      <c r="G74" s="11">
        <v>2290</v>
      </c>
      <c r="H74" s="11">
        <v>26197572</v>
      </c>
    </row>
    <row r="75" spans="1:8" x14ac:dyDescent="0.25">
      <c r="A75" s="3" t="s">
        <v>95</v>
      </c>
      <c r="B75" s="3" t="s">
        <v>96</v>
      </c>
      <c r="C75" s="3" t="s">
        <v>109</v>
      </c>
      <c r="D75" s="8">
        <v>5</v>
      </c>
      <c r="E75" s="17">
        <v>4</v>
      </c>
      <c r="F75" s="17">
        <v>7</v>
      </c>
      <c r="G75" s="11">
        <v>2290</v>
      </c>
      <c r="H75" s="11">
        <v>26197572</v>
      </c>
    </row>
    <row r="76" spans="1:8" x14ac:dyDescent="0.25">
      <c r="A76" s="3" t="s">
        <v>95</v>
      </c>
      <c r="B76" s="3" t="s">
        <v>96</v>
      </c>
      <c r="C76" s="3" t="s">
        <v>110</v>
      </c>
      <c r="D76" s="8">
        <v>17</v>
      </c>
      <c r="E76" s="17">
        <v>15</v>
      </c>
      <c r="F76" s="17">
        <v>20</v>
      </c>
      <c r="G76" s="11">
        <v>2290</v>
      </c>
      <c r="H76" s="11">
        <v>26197572</v>
      </c>
    </row>
    <row r="77" spans="1:8" ht="35.700000000000003" customHeight="1" x14ac:dyDescent="0.25">
      <c r="A77" s="3" t="s">
        <v>95</v>
      </c>
      <c r="B77" s="3" t="s">
        <v>97</v>
      </c>
      <c r="C77" s="3" t="s">
        <v>100</v>
      </c>
      <c r="D77" s="8">
        <v>42</v>
      </c>
      <c r="E77" s="17">
        <v>39</v>
      </c>
      <c r="F77" s="17">
        <v>45</v>
      </c>
      <c r="G77" s="11">
        <v>2330</v>
      </c>
      <c r="H77" s="11">
        <v>27753581</v>
      </c>
    </row>
    <row r="78" spans="1:8" x14ac:dyDescent="0.25">
      <c r="A78" s="3" t="s">
        <v>95</v>
      </c>
      <c r="B78" s="3" t="s">
        <v>97</v>
      </c>
      <c r="C78" s="3" t="s">
        <v>101</v>
      </c>
      <c r="D78" s="8">
        <v>44</v>
      </c>
      <c r="E78" s="17">
        <v>41</v>
      </c>
      <c r="F78" s="17">
        <v>47</v>
      </c>
      <c r="G78" s="11">
        <v>2330</v>
      </c>
      <c r="H78" s="11">
        <v>27753581</v>
      </c>
    </row>
    <row r="79" spans="1:8" x14ac:dyDescent="0.25">
      <c r="A79" s="3" t="s">
        <v>95</v>
      </c>
      <c r="B79" s="3" t="s">
        <v>97</v>
      </c>
      <c r="C79" s="3" t="s">
        <v>102</v>
      </c>
      <c r="D79" s="8">
        <v>26</v>
      </c>
      <c r="E79" s="17">
        <v>23</v>
      </c>
      <c r="F79" s="17">
        <v>28</v>
      </c>
      <c r="G79" s="11">
        <v>2330</v>
      </c>
      <c r="H79" s="11">
        <v>27753581</v>
      </c>
    </row>
    <row r="80" spans="1:8" x14ac:dyDescent="0.25">
      <c r="A80" s="3" t="s">
        <v>95</v>
      </c>
      <c r="B80" s="3" t="s">
        <v>97</v>
      </c>
      <c r="C80" s="3" t="s">
        <v>103</v>
      </c>
      <c r="D80" s="8">
        <v>17</v>
      </c>
      <c r="E80" s="17">
        <v>15</v>
      </c>
      <c r="F80" s="17">
        <v>20</v>
      </c>
      <c r="G80" s="11">
        <v>2330</v>
      </c>
      <c r="H80" s="11">
        <v>27753581</v>
      </c>
    </row>
    <row r="81" spans="1:8" x14ac:dyDescent="0.25">
      <c r="A81" s="3" t="s">
        <v>95</v>
      </c>
      <c r="B81" s="3" t="s">
        <v>97</v>
      </c>
      <c r="C81" s="3" t="s">
        <v>104</v>
      </c>
      <c r="D81" s="8">
        <v>17</v>
      </c>
      <c r="E81" s="17">
        <v>15</v>
      </c>
      <c r="F81" s="17">
        <v>19</v>
      </c>
      <c r="G81" s="11">
        <v>2330</v>
      </c>
      <c r="H81" s="11">
        <v>27753581</v>
      </c>
    </row>
    <row r="82" spans="1:8" x14ac:dyDescent="0.25">
      <c r="A82" s="3" t="s">
        <v>95</v>
      </c>
      <c r="B82" s="3" t="s">
        <v>97</v>
      </c>
      <c r="C82" s="3" t="s">
        <v>105</v>
      </c>
      <c r="D82" s="8">
        <v>31</v>
      </c>
      <c r="E82" s="17">
        <v>28</v>
      </c>
      <c r="F82" s="17">
        <v>34</v>
      </c>
      <c r="G82" s="11">
        <v>2330</v>
      </c>
      <c r="H82" s="11">
        <v>27753581</v>
      </c>
    </row>
    <row r="83" spans="1:8" x14ac:dyDescent="0.25">
      <c r="A83" s="3" t="s">
        <v>95</v>
      </c>
      <c r="B83" s="3" t="s">
        <v>97</v>
      </c>
      <c r="C83" s="3" t="s">
        <v>106</v>
      </c>
      <c r="D83" s="8">
        <v>40</v>
      </c>
      <c r="E83" s="17">
        <v>37</v>
      </c>
      <c r="F83" s="17">
        <v>43</v>
      </c>
      <c r="G83" s="11">
        <v>2330</v>
      </c>
      <c r="H83" s="11">
        <v>27753581</v>
      </c>
    </row>
    <row r="84" spans="1:8" x14ac:dyDescent="0.25">
      <c r="A84" s="3" t="s">
        <v>95</v>
      </c>
      <c r="B84" s="3" t="s">
        <v>97</v>
      </c>
      <c r="C84" s="3" t="s">
        <v>107</v>
      </c>
      <c r="D84" s="8">
        <v>12</v>
      </c>
      <c r="E84" s="17">
        <v>10</v>
      </c>
      <c r="F84" s="17">
        <v>14</v>
      </c>
      <c r="G84" s="11">
        <v>2330</v>
      </c>
      <c r="H84" s="11">
        <v>27753581</v>
      </c>
    </row>
    <row r="85" spans="1:8" x14ac:dyDescent="0.25">
      <c r="A85" s="3" t="s">
        <v>95</v>
      </c>
      <c r="B85" s="3" t="s">
        <v>97</v>
      </c>
      <c r="C85" s="3" t="s">
        <v>108</v>
      </c>
      <c r="D85" s="8">
        <v>22</v>
      </c>
      <c r="E85" s="17">
        <v>20</v>
      </c>
      <c r="F85" s="17">
        <v>25</v>
      </c>
      <c r="G85" s="11">
        <v>2330</v>
      </c>
      <c r="H85" s="11">
        <v>27753581</v>
      </c>
    </row>
    <row r="86" spans="1:8" x14ac:dyDescent="0.25">
      <c r="A86" s="3" t="s">
        <v>95</v>
      </c>
      <c r="B86" s="3" t="s">
        <v>97</v>
      </c>
      <c r="C86" s="3" t="s">
        <v>109</v>
      </c>
      <c r="D86" s="8">
        <v>6</v>
      </c>
      <c r="E86" s="17">
        <v>5</v>
      </c>
      <c r="F86" s="17">
        <v>8</v>
      </c>
      <c r="G86" s="11">
        <v>2330</v>
      </c>
      <c r="H86" s="11">
        <v>27753581</v>
      </c>
    </row>
    <row r="87" spans="1:8" x14ac:dyDescent="0.25">
      <c r="A87" s="3" t="s">
        <v>95</v>
      </c>
      <c r="B87" s="3" t="s">
        <v>97</v>
      </c>
      <c r="C87" s="3" t="s">
        <v>110</v>
      </c>
      <c r="D87" s="8">
        <v>12</v>
      </c>
      <c r="E87" s="17">
        <v>10</v>
      </c>
      <c r="F87" s="17">
        <v>14</v>
      </c>
      <c r="G87" s="11">
        <v>2330</v>
      </c>
      <c r="H87" s="11">
        <v>27753581</v>
      </c>
    </row>
    <row r="88" spans="1:8" ht="35.700000000000003" customHeight="1" x14ac:dyDescent="0.25">
      <c r="A88" s="3" t="s">
        <v>45</v>
      </c>
      <c r="B88" s="3" t="s">
        <v>88</v>
      </c>
      <c r="C88" s="3" t="s">
        <v>100</v>
      </c>
      <c r="D88" s="8">
        <v>36</v>
      </c>
      <c r="E88" s="17">
        <v>34</v>
      </c>
      <c r="F88" s="17">
        <v>38</v>
      </c>
      <c r="G88" s="11">
        <v>4010</v>
      </c>
      <c r="H88" s="11">
        <v>43881719</v>
      </c>
    </row>
    <row r="89" spans="1:8" x14ac:dyDescent="0.25">
      <c r="A89" s="3" t="s">
        <v>45</v>
      </c>
      <c r="B89" s="3" t="s">
        <v>88</v>
      </c>
      <c r="C89" s="3" t="s">
        <v>101</v>
      </c>
      <c r="D89" s="8">
        <v>36</v>
      </c>
      <c r="E89" s="17">
        <v>34</v>
      </c>
      <c r="F89" s="17">
        <v>38</v>
      </c>
      <c r="G89" s="11">
        <v>4010</v>
      </c>
      <c r="H89" s="11">
        <v>43881719</v>
      </c>
    </row>
    <row r="90" spans="1:8" x14ac:dyDescent="0.25">
      <c r="A90" s="3" t="s">
        <v>45</v>
      </c>
      <c r="B90" s="3" t="s">
        <v>88</v>
      </c>
      <c r="C90" s="3" t="s">
        <v>102</v>
      </c>
      <c r="D90" s="8">
        <v>24</v>
      </c>
      <c r="E90" s="17">
        <v>21</v>
      </c>
      <c r="F90" s="17">
        <v>26</v>
      </c>
      <c r="G90" s="11">
        <v>4010</v>
      </c>
      <c r="H90" s="11">
        <v>43881719</v>
      </c>
    </row>
    <row r="91" spans="1:8" x14ac:dyDescent="0.25">
      <c r="A91" s="3" t="s">
        <v>45</v>
      </c>
      <c r="B91" s="3" t="s">
        <v>88</v>
      </c>
      <c r="C91" s="3" t="s">
        <v>103</v>
      </c>
      <c r="D91" s="8">
        <v>13</v>
      </c>
      <c r="E91" s="17">
        <v>11</v>
      </c>
      <c r="F91" s="17">
        <v>14</v>
      </c>
      <c r="G91" s="11">
        <v>4010</v>
      </c>
      <c r="H91" s="11">
        <v>43881719</v>
      </c>
    </row>
    <row r="92" spans="1:8" x14ac:dyDescent="0.25">
      <c r="A92" s="3" t="s">
        <v>45</v>
      </c>
      <c r="B92" s="3" t="s">
        <v>88</v>
      </c>
      <c r="C92" s="3" t="s">
        <v>104</v>
      </c>
      <c r="D92" s="8">
        <v>12</v>
      </c>
      <c r="E92" s="17">
        <v>10</v>
      </c>
      <c r="F92" s="17">
        <v>13</v>
      </c>
      <c r="G92" s="11">
        <v>4010</v>
      </c>
      <c r="H92" s="11">
        <v>43881719</v>
      </c>
    </row>
    <row r="93" spans="1:8" x14ac:dyDescent="0.25">
      <c r="A93" s="3" t="s">
        <v>45</v>
      </c>
      <c r="B93" s="3" t="s">
        <v>88</v>
      </c>
      <c r="C93" s="3" t="s">
        <v>105</v>
      </c>
      <c r="D93" s="8">
        <v>22</v>
      </c>
      <c r="E93" s="17">
        <v>20</v>
      </c>
      <c r="F93" s="17">
        <v>24</v>
      </c>
      <c r="G93" s="11">
        <v>4010</v>
      </c>
      <c r="H93" s="11">
        <v>43881719</v>
      </c>
    </row>
    <row r="94" spans="1:8" x14ac:dyDescent="0.25">
      <c r="A94" s="3" t="s">
        <v>45</v>
      </c>
      <c r="B94" s="3" t="s">
        <v>88</v>
      </c>
      <c r="C94" s="3" t="s">
        <v>106</v>
      </c>
      <c r="D94" s="8">
        <v>42</v>
      </c>
      <c r="E94" s="17">
        <v>40</v>
      </c>
      <c r="F94" s="17">
        <v>44</v>
      </c>
      <c r="G94" s="11">
        <v>4010</v>
      </c>
      <c r="H94" s="11">
        <v>43881719</v>
      </c>
    </row>
    <row r="95" spans="1:8" x14ac:dyDescent="0.25">
      <c r="A95" s="3" t="s">
        <v>45</v>
      </c>
      <c r="B95" s="3" t="s">
        <v>88</v>
      </c>
      <c r="C95" s="3" t="s">
        <v>107</v>
      </c>
      <c r="D95" s="8">
        <v>11</v>
      </c>
      <c r="E95" s="17">
        <v>9</v>
      </c>
      <c r="F95" s="17">
        <v>12</v>
      </c>
      <c r="G95" s="11">
        <v>4010</v>
      </c>
      <c r="H95" s="11">
        <v>43881719</v>
      </c>
    </row>
    <row r="96" spans="1:8" x14ac:dyDescent="0.25">
      <c r="A96" s="3" t="s">
        <v>45</v>
      </c>
      <c r="B96" s="3" t="s">
        <v>88</v>
      </c>
      <c r="C96" s="3" t="s">
        <v>108</v>
      </c>
      <c r="D96" s="8">
        <v>21</v>
      </c>
      <c r="E96" s="17">
        <v>19</v>
      </c>
      <c r="F96" s="17">
        <v>23</v>
      </c>
      <c r="G96" s="11">
        <v>4010</v>
      </c>
      <c r="H96" s="11">
        <v>43881719</v>
      </c>
    </row>
    <row r="97" spans="1:8" x14ac:dyDescent="0.25">
      <c r="A97" s="3" t="s">
        <v>45</v>
      </c>
      <c r="B97" s="3" t="s">
        <v>88</v>
      </c>
      <c r="C97" s="3" t="s">
        <v>109</v>
      </c>
      <c r="D97" s="8">
        <v>6</v>
      </c>
      <c r="E97" s="17">
        <v>5</v>
      </c>
      <c r="F97" s="17">
        <v>7</v>
      </c>
      <c r="G97" s="11">
        <v>4010</v>
      </c>
      <c r="H97" s="11">
        <v>43881719</v>
      </c>
    </row>
    <row r="98" spans="1:8" x14ac:dyDescent="0.25">
      <c r="A98" s="3" t="s">
        <v>45</v>
      </c>
      <c r="B98" s="3" t="s">
        <v>88</v>
      </c>
      <c r="C98" s="3" t="s">
        <v>110</v>
      </c>
      <c r="D98" s="8">
        <v>18</v>
      </c>
      <c r="E98" s="17">
        <v>16</v>
      </c>
      <c r="F98" s="17">
        <v>19</v>
      </c>
      <c r="G98" s="11">
        <v>4010</v>
      </c>
      <c r="H98" s="11">
        <v>43881719</v>
      </c>
    </row>
    <row r="99" spans="1:8" ht="35.700000000000003" customHeight="1" x14ac:dyDescent="0.25">
      <c r="A99" s="3" t="s">
        <v>45</v>
      </c>
      <c r="B99" s="3" t="s">
        <v>89</v>
      </c>
      <c r="C99" s="3" t="s">
        <v>100</v>
      </c>
      <c r="D99" s="8">
        <v>67</v>
      </c>
      <c r="E99" s="17">
        <v>62</v>
      </c>
      <c r="F99" s="17">
        <v>72</v>
      </c>
      <c r="G99" s="11">
        <v>590</v>
      </c>
      <c r="H99" s="11">
        <v>9942359</v>
      </c>
    </row>
    <row r="100" spans="1:8" ht="30" x14ac:dyDescent="0.25">
      <c r="A100" s="3" t="s">
        <v>45</v>
      </c>
      <c r="B100" s="3" t="s">
        <v>89</v>
      </c>
      <c r="C100" s="3" t="s">
        <v>101</v>
      </c>
      <c r="D100" s="8">
        <v>66</v>
      </c>
      <c r="E100" s="17">
        <v>60</v>
      </c>
      <c r="F100" s="17">
        <v>71</v>
      </c>
      <c r="G100" s="11">
        <v>590</v>
      </c>
      <c r="H100" s="11">
        <v>9942359</v>
      </c>
    </row>
    <row r="101" spans="1:8" ht="30" x14ac:dyDescent="0.25">
      <c r="A101" s="3" t="s">
        <v>45</v>
      </c>
      <c r="B101" s="3" t="s">
        <v>89</v>
      </c>
      <c r="C101" s="3" t="s">
        <v>102</v>
      </c>
      <c r="D101" s="8">
        <v>41</v>
      </c>
      <c r="E101" s="17">
        <v>35</v>
      </c>
      <c r="F101" s="17">
        <v>47</v>
      </c>
      <c r="G101" s="11">
        <v>590</v>
      </c>
      <c r="H101" s="11">
        <v>9942359</v>
      </c>
    </row>
    <row r="102" spans="1:8" ht="30" x14ac:dyDescent="0.25">
      <c r="A102" s="3" t="s">
        <v>45</v>
      </c>
      <c r="B102" s="3" t="s">
        <v>89</v>
      </c>
      <c r="C102" s="3" t="s">
        <v>103</v>
      </c>
      <c r="D102" s="8">
        <v>21</v>
      </c>
      <c r="E102" s="17">
        <v>16</v>
      </c>
      <c r="F102" s="17">
        <v>26</v>
      </c>
      <c r="G102" s="11">
        <v>590</v>
      </c>
      <c r="H102" s="11">
        <v>9942359</v>
      </c>
    </row>
    <row r="103" spans="1:8" ht="30" x14ac:dyDescent="0.25">
      <c r="A103" s="3" t="s">
        <v>45</v>
      </c>
      <c r="B103" s="3" t="s">
        <v>89</v>
      </c>
      <c r="C103" s="3" t="s">
        <v>104</v>
      </c>
      <c r="D103" s="8">
        <v>35</v>
      </c>
      <c r="E103" s="17">
        <v>30</v>
      </c>
      <c r="F103" s="17">
        <v>41</v>
      </c>
      <c r="G103" s="11">
        <v>590</v>
      </c>
      <c r="H103" s="11">
        <v>9942359</v>
      </c>
    </row>
    <row r="104" spans="1:8" ht="30" x14ac:dyDescent="0.25">
      <c r="A104" s="3" t="s">
        <v>45</v>
      </c>
      <c r="B104" s="3" t="s">
        <v>89</v>
      </c>
      <c r="C104" s="3" t="s">
        <v>105</v>
      </c>
      <c r="D104" s="8">
        <v>54</v>
      </c>
      <c r="E104" s="17">
        <v>48</v>
      </c>
      <c r="F104" s="17">
        <v>59</v>
      </c>
      <c r="G104" s="11">
        <v>590</v>
      </c>
      <c r="H104" s="11">
        <v>9942359</v>
      </c>
    </row>
    <row r="105" spans="1:8" ht="30" x14ac:dyDescent="0.25">
      <c r="A105" s="3" t="s">
        <v>45</v>
      </c>
      <c r="B105" s="3" t="s">
        <v>89</v>
      </c>
      <c r="C105" s="3" t="s">
        <v>106</v>
      </c>
      <c r="D105" s="8">
        <v>52</v>
      </c>
      <c r="E105" s="17">
        <v>47</v>
      </c>
      <c r="F105" s="17">
        <v>58</v>
      </c>
      <c r="G105" s="11">
        <v>590</v>
      </c>
      <c r="H105" s="11">
        <v>9942359</v>
      </c>
    </row>
    <row r="106" spans="1:8" ht="30" x14ac:dyDescent="0.25">
      <c r="A106" s="3" t="s">
        <v>45</v>
      </c>
      <c r="B106" s="3" t="s">
        <v>89</v>
      </c>
      <c r="C106" s="3" t="s">
        <v>107</v>
      </c>
      <c r="D106" s="8">
        <v>23</v>
      </c>
      <c r="E106" s="17">
        <v>18</v>
      </c>
      <c r="F106" s="17">
        <v>28</v>
      </c>
      <c r="G106" s="11">
        <v>590</v>
      </c>
      <c r="H106" s="11">
        <v>9942359</v>
      </c>
    </row>
    <row r="107" spans="1:8" ht="30" x14ac:dyDescent="0.25">
      <c r="A107" s="3" t="s">
        <v>45</v>
      </c>
      <c r="B107" s="3" t="s">
        <v>89</v>
      </c>
      <c r="C107" s="3" t="s">
        <v>108</v>
      </c>
      <c r="D107" s="8">
        <v>26</v>
      </c>
      <c r="E107" s="17">
        <v>21</v>
      </c>
      <c r="F107" s="17">
        <v>31</v>
      </c>
      <c r="G107" s="11">
        <v>590</v>
      </c>
      <c r="H107" s="11">
        <v>9942359</v>
      </c>
    </row>
    <row r="108" spans="1:8" ht="30" x14ac:dyDescent="0.25">
      <c r="A108" s="3" t="s">
        <v>45</v>
      </c>
      <c r="B108" s="3" t="s">
        <v>89</v>
      </c>
      <c r="C108" s="3" t="s">
        <v>109</v>
      </c>
      <c r="D108" s="8">
        <v>7</v>
      </c>
      <c r="E108" s="17">
        <v>4</v>
      </c>
      <c r="F108" s="17">
        <v>10</v>
      </c>
      <c r="G108" s="11">
        <v>590</v>
      </c>
      <c r="H108" s="11">
        <v>9942359</v>
      </c>
    </row>
    <row r="109" spans="1:8" ht="30" x14ac:dyDescent="0.25">
      <c r="A109" s="3" t="s">
        <v>45</v>
      </c>
      <c r="B109" s="3" t="s">
        <v>89</v>
      </c>
      <c r="C109" s="3" t="s">
        <v>110</v>
      </c>
      <c r="D109" s="8">
        <v>2</v>
      </c>
      <c r="E109" s="17">
        <v>0</v>
      </c>
      <c r="F109" s="17">
        <v>3</v>
      </c>
      <c r="G109" s="11">
        <v>590</v>
      </c>
      <c r="H109" s="11">
        <v>9942359</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8"/>
  <sheetViews>
    <sheetView workbookViewId="0"/>
  </sheetViews>
  <sheetFormatPr defaultColWidth="10.90625" defaultRowHeight="15" x14ac:dyDescent="0.25"/>
  <cols>
    <col min="1" max="1" width="17.81640625" customWidth="1"/>
    <col min="2" max="2" width="23.6328125" customWidth="1"/>
    <col min="3" max="3" width="46.6328125" customWidth="1"/>
    <col min="4" max="8" width="16.81640625" customWidth="1"/>
  </cols>
  <sheetData>
    <row r="1" spans="1:8" ht="21" x14ac:dyDescent="0.4">
      <c r="A1" s="5" t="s">
        <v>111</v>
      </c>
    </row>
    <row r="2" spans="1:8" ht="16.8" x14ac:dyDescent="0.3">
      <c r="A2" s="21" t="s">
        <v>76</v>
      </c>
    </row>
    <row r="3" spans="1:8" x14ac:dyDescent="0.25">
      <c r="A3" t="s">
        <v>37</v>
      </c>
    </row>
    <row r="4" spans="1:8" x14ac:dyDescent="0.25">
      <c r="A4" t="s">
        <v>77</v>
      </c>
    </row>
    <row r="5" spans="1:8" x14ac:dyDescent="0.25">
      <c r="A5" s="25" t="str">
        <f>HYPERLINK("#'Cover'!A29", "If shorthand is present please refer to the Suppression and shorthand section in the Cover_sheet tab")</f>
        <v>If shorthand is present please refer to the Suppression and shorthand section in the Cover_sheet tab</v>
      </c>
    </row>
    <row r="6" spans="1:8" x14ac:dyDescent="0.25">
      <c r="A6" s="19" t="str">
        <f>HYPERLINK("#'Contents'!A1", "Return to table of contents")</f>
        <v>Return to table of contents</v>
      </c>
    </row>
    <row r="7" spans="1:8" x14ac:dyDescent="0.25">
      <c r="A7" t="s">
        <v>78</v>
      </c>
    </row>
    <row r="8" spans="1:8" ht="15.6" x14ac:dyDescent="0.3">
      <c r="A8" s="20" t="s">
        <v>112</v>
      </c>
    </row>
    <row r="9" spans="1:8" ht="15.6" x14ac:dyDescent="0.3">
      <c r="A9" s="20" t="s">
        <v>1</v>
      </c>
    </row>
    <row r="10" spans="1:8" ht="31.2" x14ac:dyDescent="0.3">
      <c r="A10" s="9" t="s">
        <v>80</v>
      </c>
      <c r="B10" s="9" t="s">
        <v>81</v>
      </c>
      <c r="C10" s="9" t="s">
        <v>82</v>
      </c>
      <c r="D10" s="10" t="s">
        <v>83</v>
      </c>
      <c r="E10" s="10" t="s">
        <v>84</v>
      </c>
      <c r="F10" s="10" t="s">
        <v>85</v>
      </c>
      <c r="G10" s="10" t="s">
        <v>20</v>
      </c>
      <c r="H10" s="10" t="s">
        <v>17</v>
      </c>
    </row>
    <row r="11" spans="1:8" x14ac:dyDescent="0.25">
      <c r="A11" s="3" t="s">
        <v>86</v>
      </c>
      <c r="B11" s="3" t="s">
        <v>87</v>
      </c>
      <c r="C11" s="3" t="s">
        <v>113</v>
      </c>
      <c r="D11" s="8">
        <v>56</v>
      </c>
      <c r="E11" s="17">
        <v>54</v>
      </c>
      <c r="F11" s="17">
        <v>58</v>
      </c>
      <c r="G11" s="11">
        <v>4620</v>
      </c>
      <c r="H11" s="11">
        <v>53927188</v>
      </c>
    </row>
    <row r="12" spans="1:8" x14ac:dyDescent="0.25">
      <c r="A12" s="3" t="s">
        <v>86</v>
      </c>
      <c r="B12" s="3" t="s">
        <v>87</v>
      </c>
      <c r="C12" s="3" t="s">
        <v>114</v>
      </c>
      <c r="D12" s="8">
        <v>14</v>
      </c>
      <c r="E12" s="17">
        <v>12</v>
      </c>
      <c r="F12" s="17">
        <v>16</v>
      </c>
      <c r="G12" s="11">
        <v>4620</v>
      </c>
      <c r="H12" s="11">
        <v>53927188</v>
      </c>
    </row>
    <row r="13" spans="1:8" x14ac:dyDescent="0.25">
      <c r="A13" s="3" t="s">
        <v>86</v>
      </c>
      <c r="B13" s="3" t="s">
        <v>87</v>
      </c>
      <c r="C13" s="3" t="s">
        <v>115</v>
      </c>
      <c r="D13" s="8">
        <v>65</v>
      </c>
      <c r="E13" s="17">
        <v>63</v>
      </c>
      <c r="F13" s="17">
        <v>67</v>
      </c>
      <c r="G13" s="11">
        <v>4620</v>
      </c>
      <c r="H13" s="11">
        <v>53927188</v>
      </c>
    </row>
    <row r="14" spans="1:8" x14ac:dyDescent="0.25">
      <c r="A14" s="3" t="s">
        <v>86</v>
      </c>
      <c r="B14" s="3" t="s">
        <v>87</v>
      </c>
      <c r="C14" s="3" t="s">
        <v>116</v>
      </c>
      <c r="D14" s="8">
        <v>48</v>
      </c>
      <c r="E14" s="17">
        <v>46</v>
      </c>
      <c r="F14" s="17">
        <v>51</v>
      </c>
      <c r="G14" s="11">
        <v>4620</v>
      </c>
      <c r="H14" s="11">
        <v>53927188</v>
      </c>
    </row>
    <row r="15" spans="1:8" x14ac:dyDescent="0.25">
      <c r="A15" s="3" t="s">
        <v>86</v>
      </c>
      <c r="B15" s="3" t="s">
        <v>87</v>
      </c>
      <c r="C15" s="3" t="s">
        <v>117</v>
      </c>
      <c r="D15" s="8">
        <v>50</v>
      </c>
      <c r="E15" s="17">
        <v>48</v>
      </c>
      <c r="F15" s="17">
        <v>52</v>
      </c>
      <c r="G15" s="11">
        <v>4620</v>
      </c>
      <c r="H15" s="11">
        <v>53927188</v>
      </c>
    </row>
    <row r="16" spans="1:8" x14ac:dyDescent="0.25">
      <c r="A16" s="3" t="s">
        <v>86</v>
      </c>
      <c r="B16" s="3" t="s">
        <v>87</v>
      </c>
      <c r="C16" s="3" t="s">
        <v>118</v>
      </c>
      <c r="D16" s="8">
        <v>11</v>
      </c>
      <c r="E16" s="17">
        <v>10</v>
      </c>
      <c r="F16" s="17">
        <v>13</v>
      </c>
      <c r="G16" s="11">
        <v>4620</v>
      </c>
      <c r="H16" s="11">
        <v>53927188</v>
      </c>
    </row>
    <row r="17" spans="1:8" x14ac:dyDescent="0.25">
      <c r="A17" s="3" t="s">
        <v>86</v>
      </c>
      <c r="B17" s="3" t="s">
        <v>87</v>
      </c>
      <c r="C17" s="3" t="s">
        <v>119</v>
      </c>
      <c r="D17" s="8">
        <v>41</v>
      </c>
      <c r="E17" s="17">
        <v>39</v>
      </c>
      <c r="F17" s="17">
        <v>44</v>
      </c>
      <c r="G17" s="11">
        <v>4620</v>
      </c>
      <c r="H17" s="11">
        <v>53927188</v>
      </c>
    </row>
    <row r="18" spans="1:8" x14ac:dyDescent="0.25">
      <c r="A18" s="3" t="s">
        <v>86</v>
      </c>
      <c r="B18" s="3" t="s">
        <v>87</v>
      </c>
      <c r="C18" s="3" t="s">
        <v>120</v>
      </c>
      <c r="D18" s="8">
        <v>18</v>
      </c>
      <c r="E18" s="17">
        <v>16</v>
      </c>
      <c r="F18" s="17">
        <v>19</v>
      </c>
      <c r="G18" s="11">
        <v>4620</v>
      </c>
      <c r="H18" s="11">
        <v>53927188</v>
      </c>
    </row>
    <row r="19" spans="1:8" x14ac:dyDescent="0.25">
      <c r="A19" s="3" t="s">
        <v>86</v>
      </c>
      <c r="B19" s="3" t="s">
        <v>87</v>
      </c>
      <c r="C19" s="3" t="s">
        <v>121</v>
      </c>
      <c r="D19" s="8">
        <v>11</v>
      </c>
      <c r="E19" s="17">
        <v>9</v>
      </c>
      <c r="F19" s="17">
        <v>12</v>
      </c>
      <c r="G19" s="11">
        <v>4620</v>
      </c>
      <c r="H19" s="11">
        <v>53927188</v>
      </c>
    </row>
    <row r="20" spans="1:8" x14ac:dyDescent="0.25">
      <c r="A20" s="3" t="s">
        <v>86</v>
      </c>
      <c r="B20" s="3" t="s">
        <v>87</v>
      </c>
      <c r="C20" s="3" t="s">
        <v>122</v>
      </c>
      <c r="D20" s="8">
        <v>67</v>
      </c>
      <c r="E20" s="17">
        <v>64</v>
      </c>
      <c r="F20" s="17">
        <v>69</v>
      </c>
      <c r="G20" s="11">
        <v>4620</v>
      </c>
      <c r="H20" s="11">
        <v>53927188</v>
      </c>
    </row>
    <row r="21" spans="1:8" x14ac:dyDescent="0.25">
      <c r="A21" s="3" t="s">
        <v>86</v>
      </c>
      <c r="B21" s="3" t="s">
        <v>87</v>
      </c>
      <c r="C21" s="3" t="s">
        <v>109</v>
      </c>
      <c r="D21" s="8">
        <v>2</v>
      </c>
      <c r="E21" s="17">
        <v>1</v>
      </c>
      <c r="F21" s="17">
        <v>3</v>
      </c>
      <c r="G21" s="11">
        <v>4620</v>
      </c>
      <c r="H21" s="11">
        <v>53927188</v>
      </c>
    </row>
    <row r="22" spans="1:8" x14ac:dyDescent="0.25">
      <c r="A22" s="3" t="s">
        <v>86</v>
      </c>
      <c r="B22" s="3" t="s">
        <v>87</v>
      </c>
      <c r="C22" s="3" t="s">
        <v>123</v>
      </c>
      <c r="D22" s="8">
        <v>6</v>
      </c>
      <c r="E22" s="17">
        <v>5</v>
      </c>
      <c r="F22" s="17">
        <v>7</v>
      </c>
      <c r="G22" s="11">
        <v>4620</v>
      </c>
      <c r="H22" s="11">
        <v>53927188</v>
      </c>
    </row>
    <row r="23" spans="1:8" ht="35.700000000000003" customHeight="1" x14ac:dyDescent="0.25">
      <c r="A23" s="3" t="s">
        <v>90</v>
      </c>
      <c r="B23" s="3" t="s">
        <v>91</v>
      </c>
      <c r="C23" s="3" t="s">
        <v>113</v>
      </c>
      <c r="D23" s="8">
        <v>56</v>
      </c>
      <c r="E23" s="17">
        <v>49</v>
      </c>
      <c r="F23" s="17">
        <v>62</v>
      </c>
      <c r="G23" s="11">
        <v>260</v>
      </c>
      <c r="H23" s="11">
        <v>9933335</v>
      </c>
    </row>
    <row r="24" spans="1:8" x14ac:dyDescent="0.25">
      <c r="A24" s="3" t="s">
        <v>90</v>
      </c>
      <c r="B24" s="3" t="s">
        <v>91</v>
      </c>
      <c r="C24" s="3" t="s">
        <v>114</v>
      </c>
      <c r="D24" s="8">
        <v>18</v>
      </c>
      <c r="E24" s="17">
        <v>13</v>
      </c>
      <c r="F24" s="17">
        <v>23</v>
      </c>
      <c r="G24" s="11">
        <v>260</v>
      </c>
      <c r="H24" s="11">
        <v>9933335</v>
      </c>
    </row>
    <row r="25" spans="1:8" x14ac:dyDescent="0.25">
      <c r="A25" s="3" t="s">
        <v>90</v>
      </c>
      <c r="B25" s="3" t="s">
        <v>91</v>
      </c>
      <c r="C25" s="3" t="s">
        <v>115</v>
      </c>
      <c r="D25" s="8">
        <v>79</v>
      </c>
      <c r="E25" s="17">
        <v>74</v>
      </c>
      <c r="F25" s="17">
        <v>84</v>
      </c>
      <c r="G25" s="11">
        <v>260</v>
      </c>
      <c r="H25" s="11">
        <v>9933335</v>
      </c>
    </row>
    <row r="26" spans="1:8" x14ac:dyDescent="0.25">
      <c r="A26" s="3" t="s">
        <v>90</v>
      </c>
      <c r="B26" s="3" t="s">
        <v>91</v>
      </c>
      <c r="C26" s="3" t="s">
        <v>116</v>
      </c>
      <c r="D26" s="8">
        <v>59</v>
      </c>
      <c r="E26" s="17">
        <v>52</v>
      </c>
      <c r="F26" s="17">
        <v>65</v>
      </c>
      <c r="G26" s="11">
        <v>260</v>
      </c>
      <c r="H26" s="11">
        <v>9933335</v>
      </c>
    </row>
    <row r="27" spans="1:8" x14ac:dyDescent="0.25">
      <c r="A27" s="3" t="s">
        <v>90</v>
      </c>
      <c r="B27" s="3" t="s">
        <v>91</v>
      </c>
      <c r="C27" s="3" t="s">
        <v>117</v>
      </c>
      <c r="D27" s="8">
        <v>39</v>
      </c>
      <c r="E27" s="17">
        <v>33</v>
      </c>
      <c r="F27" s="17">
        <v>46</v>
      </c>
      <c r="G27" s="11">
        <v>260</v>
      </c>
      <c r="H27" s="11">
        <v>9933335</v>
      </c>
    </row>
    <row r="28" spans="1:8" x14ac:dyDescent="0.25">
      <c r="A28" s="3" t="s">
        <v>90</v>
      </c>
      <c r="B28" s="3" t="s">
        <v>91</v>
      </c>
      <c r="C28" s="3" t="s">
        <v>118</v>
      </c>
      <c r="D28" s="8">
        <v>8</v>
      </c>
      <c r="E28" s="17">
        <v>4</v>
      </c>
      <c r="F28" s="17">
        <v>11</v>
      </c>
      <c r="G28" s="11">
        <v>260</v>
      </c>
      <c r="H28" s="11">
        <v>9933335</v>
      </c>
    </row>
    <row r="29" spans="1:8" x14ac:dyDescent="0.25">
      <c r="A29" s="3" t="s">
        <v>90</v>
      </c>
      <c r="B29" s="3" t="s">
        <v>91</v>
      </c>
      <c r="C29" s="3" t="s">
        <v>119</v>
      </c>
      <c r="D29" s="8">
        <v>52</v>
      </c>
      <c r="E29" s="17">
        <v>45</v>
      </c>
      <c r="F29" s="17">
        <v>59</v>
      </c>
      <c r="G29" s="11">
        <v>260</v>
      </c>
      <c r="H29" s="11">
        <v>9933335</v>
      </c>
    </row>
    <row r="30" spans="1:8" x14ac:dyDescent="0.25">
      <c r="A30" s="3" t="s">
        <v>90</v>
      </c>
      <c r="B30" s="3" t="s">
        <v>91</v>
      </c>
      <c r="C30" s="3" t="s">
        <v>120</v>
      </c>
      <c r="D30" s="8">
        <v>21</v>
      </c>
      <c r="E30" s="17">
        <v>16</v>
      </c>
      <c r="F30" s="17">
        <v>27</v>
      </c>
      <c r="G30" s="11">
        <v>260</v>
      </c>
      <c r="H30" s="11">
        <v>9933335</v>
      </c>
    </row>
    <row r="31" spans="1:8" x14ac:dyDescent="0.25">
      <c r="A31" s="3" t="s">
        <v>90</v>
      </c>
      <c r="B31" s="3" t="s">
        <v>91</v>
      </c>
      <c r="C31" s="3" t="s">
        <v>121</v>
      </c>
      <c r="D31" s="8">
        <v>8</v>
      </c>
      <c r="E31" s="17">
        <v>4</v>
      </c>
      <c r="F31" s="17">
        <v>12</v>
      </c>
      <c r="G31" s="11">
        <v>260</v>
      </c>
      <c r="H31" s="11">
        <v>9933335</v>
      </c>
    </row>
    <row r="32" spans="1:8" x14ac:dyDescent="0.25">
      <c r="A32" s="3" t="s">
        <v>90</v>
      </c>
      <c r="B32" s="3" t="s">
        <v>91</v>
      </c>
      <c r="C32" s="3" t="s">
        <v>122</v>
      </c>
      <c r="D32" s="8">
        <v>64</v>
      </c>
      <c r="E32" s="17">
        <v>58</v>
      </c>
      <c r="F32" s="17">
        <v>71</v>
      </c>
      <c r="G32" s="11">
        <v>260</v>
      </c>
      <c r="H32" s="11">
        <v>9933335</v>
      </c>
    </row>
    <row r="33" spans="1:8" x14ac:dyDescent="0.25">
      <c r="A33" s="3" t="s">
        <v>90</v>
      </c>
      <c r="B33" s="3" t="s">
        <v>91</v>
      </c>
      <c r="C33" s="3" t="s">
        <v>109</v>
      </c>
      <c r="D33" s="8">
        <v>3</v>
      </c>
      <c r="E33" s="17">
        <v>1</v>
      </c>
      <c r="F33" s="17">
        <v>5</v>
      </c>
      <c r="G33" s="11">
        <v>260</v>
      </c>
      <c r="H33" s="11">
        <v>9933335</v>
      </c>
    </row>
    <row r="34" spans="1:8" x14ac:dyDescent="0.25">
      <c r="A34" s="3" t="s">
        <v>90</v>
      </c>
      <c r="B34" s="3" t="s">
        <v>91</v>
      </c>
      <c r="C34" s="3" t="s">
        <v>123</v>
      </c>
      <c r="D34" s="8">
        <v>6</v>
      </c>
      <c r="E34" s="17">
        <v>3</v>
      </c>
      <c r="F34" s="17">
        <v>8</v>
      </c>
      <c r="G34" s="11">
        <v>260</v>
      </c>
      <c r="H34" s="11">
        <v>9933335</v>
      </c>
    </row>
    <row r="35" spans="1:8" ht="35.700000000000003" customHeight="1" x14ac:dyDescent="0.25">
      <c r="A35" s="3" t="s">
        <v>90</v>
      </c>
      <c r="B35" s="3" t="s">
        <v>92</v>
      </c>
      <c r="C35" s="3" t="s">
        <v>113</v>
      </c>
      <c r="D35" s="8">
        <v>58</v>
      </c>
      <c r="E35" s="17">
        <v>54</v>
      </c>
      <c r="F35" s="17">
        <v>63</v>
      </c>
      <c r="G35" s="11">
        <v>670</v>
      </c>
      <c r="H35" s="11">
        <v>18109142</v>
      </c>
    </row>
    <row r="36" spans="1:8" x14ac:dyDescent="0.25">
      <c r="A36" s="3" t="s">
        <v>90</v>
      </c>
      <c r="B36" s="3" t="s">
        <v>92</v>
      </c>
      <c r="C36" s="3" t="s">
        <v>114</v>
      </c>
      <c r="D36" s="8">
        <v>18</v>
      </c>
      <c r="E36" s="17">
        <v>15</v>
      </c>
      <c r="F36" s="17">
        <v>22</v>
      </c>
      <c r="G36" s="11">
        <v>670</v>
      </c>
      <c r="H36" s="11">
        <v>18109142</v>
      </c>
    </row>
    <row r="37" spans="1:8" x14ac:dyDescent="0.25">
      <c r="A37" s="3" t="s">
        <v>90</v>
      </c>
      <c r="B37" s="3" t="s">
        <v>92</v>
      </c>
      <c r="C37" s="3" t="s">
        <v>115</v>
      </c>
      <c r="D37" s="8">
        <v>68</v>
      </c>
      <c r="E37" s="17">
        <v>64</v>
      </c>
      <c r="F37" s="17">
        <v>72</v>
      </c>
      <c r="G37" s="11">
        <v>670</v>
      </c>
      <c r="H37" s="11">
        <v>18109142</v>
      </c>
    </row>
    <row r="38" spans="1:8" x14ac:dyDescent="0.25">
      <c r="A38" s="3" t="s">
        <v>90</v>
      </c>
      <c r="B38" s="3" t="s">
        <v>92</v>
      </c>
      <c r="C38" s="3" t="s">
        <v>116</v>
      </c>
      <c r="D38" s="8">
        <v>51</v>
      </c>
      <c r="E38" s="17">
        <v>46</v>
      </c>
      <c r="F38" s="17">
        <v>55</v>
      </c>
      <c r="G38" s="11">
        <v>670</v>
      </c>
      <c r="H38" s="11">
        <v>18109142</v>
      </c>
    </row>
    <row r="39" spans="1:8" x14ac:dyDescent="0.25">
      <c r="A39" s="3" t="s">
        <v>90</v>
      </c>
      <c r="B39" s="3" t="s">
        <v>92</v>
      </c>
      <c r="C39" s="3" t="s">
        <v>117</v>
      </c>
      <c r="D39" s="8">
        <v>48</v>
      </c>
      <c r="E39" s="17">
        <v>44</v>
      </c>
      <c r="F39" s="17">
        <v>53</v>
      </c>
      <c r="G39" s="11">
        <v>670</v>
      </c>
      <c r="H39" s="11">
        <v>18109142</v>
      </c>
    </row>
    <row r="40" spans="1:8" x14ac:dyDescent="0.25">
      <c r="A40" s="3" t="s">
        <v>90</v>
      </c>
      <c r="B40" s="3" t="s">
        <v>92</v>
      </c>
      <c r="C40" s="3" t="s">
        <v>118</v>
      </c>
      <c r="D40" s="8">
        <v>12</v>
      </c>
      <c r="E40" s="17">
        <v>9</v>
      </c>
      <c r="F40" s="17">
        <v>15</v>
      </c>
      <c r="G40" s="11">
        <v>670</v>
      </c>
      <c r="H40" s="11">
        <v>18109142</v>
      </c>
    </row>
    <row r="41" spans="1:8" x14ac:dyDescent="0.25">
      <c r="A41" s="3" t="s">
        <v>90</v>
      </c>
      <c r="B41" s="3" t="s">
        <v>92</v>
      </c>
      <c r="C41" s="3" t="s">
        <v>119</v>
      </c>
      <c r="D41" s="8">
        <v>51</v>
      </c>
      <c r="E41" s="17">
        <v>47</v>
      </c>
      <c r="F41" s="17">
        <v>56</v>
      </c>
      <c r="G41" s="11">
        <v>670</v>
      </c>
      <c r="H41" s="11">
        <v>18109142</v>
      </c>
    </row>
    <row r="42" spans="1:8" x14ac:dyDescent="0.25">
      <c r="A42" s="3" t="s">
        <v>90</v>
      </c>
      <c r="B42" s="3" t="s">
        <v>92</v>
      </c>
      <c r="C42" s="3" t="s">
        <v>120</v>
      </c>
      <c r="D42" s="8">
        <v>21</v>
      </c>
      <c r="E42" s="17">
        <v>17</v>
      </c>
      <c r="F42" s="17">
        <v>24</v>
      </c>
      <c r="G42" s="11">
        <v>670</v>
      </c>
      <c r="H42" s="11">
        <v>18109142</v>
      </c>
    </row>
    <row r="43" spans="1:8" x14ac:dyDescent="0.25">
      <c r="A43" s="3" t="s">
        <v>90</v>
      </c>
      <c r="B43" s="3" t="s">
        <v>92</v>
      </c>
      <c r="C43" s="3" t="s">
        <v>121</v>
      </c>
      <c r="D43" s="8">
        <v>9</v>
      </c>
      <c r="E43" s="17">
        <v>7</v>
      </c>
      <c r="F43" s="17">
        <v>12</v>
      </c>
      <c r="G43" s="11">
        <v>670</v>
      </c>
      <c r="H43" s="11">
        <v>18109142</v>
      </c>
    </row>
    <row r="44" spans="1:8" x14ac:dyDescent="0.25">
      <c r="A44" s="3" t="s">
        <v>90</v>
      </c>
      <c r="B44" s="3" t="s">
        <v>92</v>
      </c>
      <c r="C44" s="3" t="s">
        <v>122</v>
      </c>
      <c r="D44" s="8">
        <v>65</v>
      </c>
      <c r="E44" s="17">
        <v>61</v>
      </c>
      <c r="F44" s="17">
        <v>70</v>
      </c>
      <c r="G44" s="11">
        <v>670</v>
      </c>
      <c r="H44" s="11">
        <v>18109142</v>
      </c>
    </row>
    <row r="45" spans="1:8" x14ac:dyDescent="0.25">
      <c r="A45" s="3" t="s">
        <v>90</v>
      </c>
      <c r="B45" s="3" t="s">
        <v>92</v>
      </c>
      <c r="C45" s="3" t="s">
        <v>109</v>
      </c>
      <c r="D45" s="8">
        <v>2</v>
      </c>
      <c r="E45" s="17">
        <v>1</v>
      </c>
      <c r="F45" s="17">
        <v>4</v>
      </c>
      <c r="G45" s="11">
        <v>670</v>
      </c>
      <c r="H45" s="11">
        <v>18109142</v>
      </c>
    </row>
    <row r="46" spans="1:8" x14ac:dyDescent="0.25">
      <c r="A46" s="3" t="s">
        <v>90</v>
      </c>
      <c r="B46" s="3" t="s">
        <v>92</v>
      </c>
      <c r="C46" s="3" t="s">
        <v>123</v>
      </c>
      <c r="D46" s="8">
        <v>5</v>
      </c>
      <c r="E46" s="17">
        <v>3</v>
      </c>
      <c r="F46" s="17">
        <v>7</v>
      </c>
      <c r="G46" s="11">
        <v>670</v>
      </c>
      <c r="H46" s="11">
        <v>18109142</v>
      </c>
    </row>
    <row r="47" spans="1:8" ht="35.700000000000003" customHeight="1" x14ac:dyDescent="0.25">
      <c r="A47" s="3" t="s">
        <v>90</v>
      </c>
      <c r="B47" s="3" t="s">
        <v>93</v>
      </c>
      <c r="C47" s="3" t="s">
        <v>113</v>
      </c>
      <c r="D47" s="8">
        <v>54</v>
      </c>
      <c r="E47" s="17">
        <v>51</v>
      </c>
      <c r="F47" s="17">
        <v>57</v>
      </c>
      <c r="G47" s="11">
        <v>1720</v>
      </c>
      <c r="H47" s="11">
        <v>16678195</v>
      </c>
    </row>
    <row r="48" spans="1:8" x14ac:dyDescent="0.25">
      <c r="A48" s="3" t="s">
        <v>90</v>
      </c>
      <c r="B48" s="3" t="s">
        <v>93</v>
      </c>
      <c r="C48" s="3" t="s">
        <v>114</v>
      </c>
      <c r="D48" s="8">
        <v>11</v>
      </c>
      <c r="E48" s="17">
        <v>9</v>
      </c>
      <c r="F48" s="17">
        <v>13</v>
      </c>
      <c r="G48" s="11">
        <v>1720</v>
      </c>
      <c r="H48" s="11">
        <v>16678195</v>
      </c>
    </row>
    <row r="49" spans="1:8" x14ac:dyDescent="0.25">
      <c r="A49" s="3" t="s">
        <v>90</v>
      </c>
      <c r="B49" s="3" t="s">
        <v>93</v>
      </c>
      <c r="C49" s="3" t="s">
        <v>115</v>
      </c>
      <c r="D49" s="8">
        <v>56</v>
      </c>
      <c r="E49" s="17">
        <v>53</v>
      </c>
      <c r="F49" s="17">
        <v>59</v>
      </c>
      <c r="G49" s="11">
        <v>1720</v>
      </c>
      <c r="H49" s="11">
        <v>16678195</v>
      </c>
    </row>
    <row r="50" spans="1:8" x14ac:dyDescent="0.25">
      <c r="A50" s="3" t="s">
        <v>90</v>
      </c>
      <c r="B50" s="3" t="s">
        <v>93</v>
      </c>
      <c r="C50" s="3" t="s">
        <v>116</v>
      </c>
      <c r="D50" s="8">
        <v>42</v>
      </c>
      <c r="E50" s="17">
        <v>38</v>
      </c>
      <c r="F50" s="17">
        <v>45</v>
      </c>
      <c r="G50" s="11">
        <v>1720</v>
      </c>
      <c r="H50" s="11">
        <v>16678195</v>
      </c>
    </row>
    <row r="51" spans="1:8" x14ac:dyDescent="0.25">
      <c r="A51" s="3" t="s">
        <v>90</v>
      </c>
      <c r="B51" s="3" t="s">
        <v>93</v>
      </c>
      <c r="C51" s="3" t="s">
        <v>117</v>
      </c>
      <c r="D51" s="8">
        <v>51</v>
      </c>
      <c r="E51" s="17">
        <v>48</v>
      </c>
      <c r="F51" s="17">
        <v>54</v>
      </c>
      <c r="G51" s="11">
        <v>1720</v>
      </c>
      <c r="H51" s="11">
        <v>16678195</v>
      </c>
    </row>
    <row r="52" spans="1:8" x14ac:dyDescent="0.25">
      <c r="A52" s="3" t="s">
        <v>90</v>
      </c>
      <c r="B52" s="3" t="s">
        <v>93</v>
      </c>
      <c r="C52" s="3" t="s">
        <v>118</v>
      </c>
      <c r="D52" s="8">
        <v>12</v>
      </c>
      <c r="E52" s="17">
        <v>9</v>
      </c>
      <c r="F52" s="17">
        <v>14</v>
      </c>
      <c r="G52" s="11">
        <v>1720</v>
      </c>
      <c r="H52" s="11">
        <v>16678195</v>
      </c>
    </row>
    <row r="53" spans="1:8" x14ac:dyDescent="0.25">
      <c r="A53" s="3" t="s">
        <v>90</v>
      </c>
      <c r="B53" s="3" t="s">
        <v>93</v>
      </c>
      <c r="C53" s="3" t="s">
        <v>119</v>
      </c>
      <c r="D53" s="8">
        <v>36</v>
      </c>
      <c r="E53" s="17">
        <v>33</v>
      </c>
      <c r="F53" s="17">
        <v>39</v>
      </c>
      <c r="G53" s="11">
        <v>1720</v>
      </c>
      <c r="H53" s="11">
        <v>16678195</v>
      </c>
    </row>
    <row r="54" spans="1:8" x14ac:dyDescent="0.25">
      <c r="A54" s="3" t="s">
        <v>90</v>
      </c>
      <c r="B54" s="3" t="s">
        <v>93</v>
      </c>
      <c r="C54" s="3" t="s">
        <v>120</v>
      </c>
      <c r="D54" s="8">
        <v>14</v>
      </c>
      <c r="E54" s="17">
        <v>12</v>
      </c>
      <c r="F54" s="17">
        <v>17</v>
      </c>
      <c r="G54" s="11">
        <v>1720</v>
      </c>
      <c r="H54" s="11">
        <v>16678195</v>
      </c>
    </row>
    <row r="55" spans="1:8" x14ac:dyDescent="0.25">
      <c r="A55" s="3" t="s">
        <v>90</v>
      </c>
      <c r="B55" s="3" t="s">
        <v>93</v>
      </c>
      <c r="C55" s="3" t="s">
        <v>121</v>
      </c>
      <c r="D55" s="8">
        <v>10</v>
      </c>
      <c r="E55" s="17">
        <v>9</v>
      </c>
      <c r="F55" s="17">
        <v>12</v>
      </c>
      <c r="G55" s="11">
        <v>1720</v>
      </c>
      <c r="H55" s="11">
        <v>16678195</v>
      </c>
    </row>
    <row r="56" spans="1:8" x14ac:dyDescent="0.25">
      <c r="A56" s="3" t="s">
        <v>90</v>
      </c>
      <c r="B56" s="3" t="s">
        <v>93</v>
      </c>
      <c r="C56" s="3" t="s">
        <v>122</v>
      </c>
      <c r="D56" s="8">
        <v>67</v>
      </c>
      <c r="E56" s="17">
        <v>63</v>
      </c>
      <c r="F56" s="17">
        <v>70</v>
      </c>
      <c r="G56" s="11">
        <v>1720</v>
      </c>
      <c r="H56" s="11">
        <v>16678195</v>
      </c>
    </row>
    <row r="57" spans="1:8" x14ac:dyDescent="0.25">
      <c r="A57" s="3" t="s">
        <v>90</v>
      </c>
      <c r="B57" s="3" t="s">
        <v>93</v>
      </c>
      <c r="C57" s="3" t="s">
        <v>109</v>
      </c>
      <c r="D57" s="8">
        <v>1</v>
      </c>
      <c r="E57" s="17">
        <v>1</v>
      </c>
      <c r="F57" s="17">
        <v>2</v>
      </c>
      <c r="G57" s="11">
        <v>1720</v>
      </c>
      <c r="H57" s="11">
        <v>16678195</v>
      </c>
    </row>
    <row r="58" spans="1:8" x14ac:dyDescent="0.25">
      <c r="A58" s="3" t="s">
        <v>90</v>
      </c>
      <c r="B58" s="3" t="s">
        <v>93</v>
      </c>
      <c r="C58" s="3" t="s">
        <v>123</v>
      </c>
      <c r="D58" s="8">
        <v>7</v>
      </c>
      <c r="E58" s="17">
        <v>5</v>
      </c>
      <c r="F58" s="17">
        <v>9</v>
      </c>
      <c r="G58" s="11">
        <v>1720</v>
      </c>
      <c r="H58" s="11">
        <v>16678195</v>
      </c>
    </row>
    <row r="59" spans="1:8" ht="35.700000000000003" customHeight="1" x14ac:dyDescent="0.25">
      <c r="A59" s="3" t="s">
        <v>90</v>
      </c>
      <c r="B59" s="3" t="s">
        <v>94</v>
      </c>
      <c r="C59" s="3" t="s">
        <v>113</v>
      </c>
      <c r="D59" s="8">
        <v>57</v>
      </c>
      <c r="E59" s="17">
        <v>54</v>
      </c>
      <c r="F59" s="17">
        <v>60</v>
      </c>
      <c r="G59" s="11">
        <v>1970</v>
      </c>
      <c r="H59" s="11">
        <v>9206516</v>
      </c>
    </row>
    <row r="60" spans="1:8" x14ac:dyDescent="0.25">
      <c r="A60" s="3" t="s">
        <v>90</v>
      </c>
      <c r="B60" s="3" t="s">
        <v>94</v>
      </c>
      <c r="C60" s="3" t="s">
        <v>114</v>
      </c>
      <c r="D60" s="8">
        <v>8</v>
      </c>
      <c r="E60" s="17">
        <v>7</v>
      </c>
      <c r="F60" s="17">
        <v>10</v>
      </c>
      <c r="G60" s="11">
        <v>1970</v>
      </c>
      <c r="H60" s="11">
        <v>9206516</v>
      </c>
    </row>
    <row r="61" spans="1:8" x14ac:dyDescent="0.25">
      <c r="A61" s="3" t="s">
        <v>90</v>
      </c>
      <c r="B61" s="3" t="s">
        <v>94</v>
      </c>
      <c r="C61" s="3" t="s">
        <v>115</v>
      </c>
      <c r="D61" s="8">
        <v>59</v>
      </c>
      <c r="E61" s="17">
        <v>57</v>
      </c>
      <c r="F61" s="17">
        <v>62</v>
      </c>
      <c r="G61" s="11">
        <v>1970</v>
      </c>
      <c r="H61" s="11">
        <v>9206516</v>
      </c>
    </row>
    <row r="62" spans="1:8" x14ac:dyDescent="0.25">
      <c r="A62" s="3" t="s">
        <v>90</v>
      </c>
      <c r="B62" s="3" t="s">
        <v>94</v>
      </c>
      <c r="C62" s="3" t="s">
        <v>116</v>
      </c>
      <c r="D62" s="8">
        <v>44</v>
      </c>
      <c r="E62" s="17">
        <v>41</v>
      </c>
      <c r="F62" s="17">
        <v>47</v>
      </c>
      <c r="G62" s="11">
        <v>1970</v>
      </c>
      <c r="H62" s="11">
        <v>9206516</v>
      </c>
    </row>
    <row r="63" spans="1:8" x14ac:dyDescent="0.25">
      <c r="A63" s="3" t="s">
        <v>90</v>
      </c>
      <c r="B63" s="3" t="s">
        <v>94</v>
      </c>
      <c r="C63" s="3" t="s">
        <v>117</v>
      </c>
      <c r="D63" s="8">
        <v>61</v>
      </c>
      <c r="E63" s="17">
        <v>58</v>
      </c>
      <c r="F63" s="17">
        <v>64</v>
      </c>
      <c r="G63" s="11">
        <v>1970</v>
      </c>
      <c r="H63" s="11">
        <v>9206516</v>
      </c>
    </row>
    <row r="64" spans="1:8" x14ac:dyDescent="0.25">
      <c r="A64" s="3" t="s">
        <v>90</v>
      </c>
      <c r="B64" s="3" t="s">
        <v>94</v>
      </c>
      <c r="C64" s="3" t="s">
        <v>118</v>
      </c>
      <c r="D64" s="8">
        <v>13</v>
      </c>
      <c r="E64" s="17">
        <v>11</v>
      </c>
      <c r="F64" s="17">
        <v>15</v>
      </c>
      <c r="G64" s="11">
        <v>1970</v>
      </c>
      <c r="H64" s="11">
        <v>9206516</v>
      </c>
    </row>
    <row r="65" spans="1:8" x14ac:dyDescent="0.25">
      <c r="A65" s="3" t="s">
        <v>90</v>
      </c>
      <c r="B65" s="3" t="s">
        <v>94</v>
      </c>
      <c r="C65" s="3" t="s">
        <v>119</v>
      </c>
      <c r="D65" s="8">
        <v>21</v>
      </c>
      <c r="E65" s="17">
        <v>18</v>
      </c>
      <c r="F65" s="17">
        <v>23</v>
      </c>
      <c r="G65" s="11">
        <v>1970</v>
      </c>
      <c r="H65" s="11">
        <v>9206516</v>
      </c>
    </row>
    <row r="66" spans="1:8" x14ac:dyDescent="0.25">
      <c r="A66" s="3" t="s">
        <v>90</v>
      </c>
      <c r="B66" s="3" t="s">
        <v>94</v>
      </c>
      <c r="C66" s="3" t="s">
        <v>120</v>
      </c>
      <c r="D66" s="8">
        <v>13</v>
      </c>
      <c r="E66" s="17">
        <v>11</v>
      </c>
      <c r="F66" s="17">
        <v>15</v>
      </c>
      <c r="G66" s="11">
        <v>1970</v>
      </c>
      <c r="H66" s="11">
        <v>9206516</v>
      </c>
    </row>
    <row r="67" spans="1:8" x14ac:dyDescent="0.25">
      <c r="A67" s="3" t="s">
        <v>90</v>
      </c>
      <c r="B67" s="3" t="s">
        <v>94</v>
      </c>
      <c r="C67" s="3" t="s">
        <v>121</v>
      </c>
      <c r="D67" s="8">
        <v>17</v>
      </c>
      <c r="E67" s="17">
        <v>15</v>
      </c>
      <c r="F67" s="17">
        <v>19</v>
      </c>
      <c r="G67" s="11">
        <v>1970</v>
      </c>
      <c r="H67" s="11">
        <v>9206516</v>
      </c>
    </row>
    <row r="68" spans="1:8" x14ac:dyDescent="0.25">
      <c r="A68" s="3" t="s">
        <v>90</v>
      </c>
      <c r="B68" s="3" t="s">
        <v>94</v>
      </c>
      <c r="C68" s="3" t="s">
        <v>122</v>
      </c>
      <c r="D68" s="8">
        <v>71</v>
      </c>
      <c r="E68" s="17">
        <v>69</v>
      </c>
      <c r="F68" s="17">
        <v>74</v>
      </c>
      <c r="G68" s="11">
        <v>1970</v>
      </c>
      <c r="H68" s="11">
        <v>9206516</v>
      </c>
    </row>
    <row r="69" spans="1:8" x14ac:dyDescent="0.25">
      <c r="A69" s="3" t="s">
        <v>90</v>
      </c>
      <c r="B69" s="3" t="s">
        <v>94</v>
      </c>
      <c r="C69" s="3" t="s">
        <v>109</v>
      </c>
      <c r="D69" s="8">
        <v>2</v>
      </c>
      <c r="E69" s="17">
        <v>1</v>
      </c>
      <c r="F69" s="17">
        <v>3</v>
      </c>
      <c r="G69" s="11">
        <v>1970</v>
      </c>
      <c r="H69" s="11">
        <v>9206516</v>
      </c>
    </row>
    <row r="70" spans="1:8" x14ac:dyDescent="0.25">
      <c r="A70" s="3" t="s">
        <v>90</v>
      </c>
      <c r="B70" s="3" t="s">
        <v>94</v>
      </c>
      <c r="C70" s="3" t="s">
        <v>123</v>
      </c>
      <c r="D70" s="8">
        <v>5</v>
      </c>
      <c r="E70" s="17">
        <v>3</v>
      </c>
      <c r="F70" s="17">
        <v>6</v>
      </c>
      <c r="G70" s="11">
        <v>1970</v>
      </c>
      <c r="H70" s="11">
        <v>9206516</v>
      </c>
    </row>
    <row r="71" spans="1:8" ht="35.700000000000003" customHeight="1" x14ac:dyDescent="0.25">
      <c r="A71" s="3" t="s">
        <v>95</v>
      </c>
      <c r="B71" s="3" t="s">
        <v>96</v>
      </c>
      <c r="C71" s="3" t="s">
        <v>113</v>
      </c>
      <c r="D71" s="8">
        <v>58</v>
      </c>
      <c r="E71" s="17">
        <v>54</v>
      </c>
      <c r="F71" s="17">
        <v>61</v>
      </c>
      <c r="G71" s="11">
        <v>2290</v>
      </c>
      <c r="H71" s="11">
        <v>26169523</v>
      </c>
    </row>
    <row r="72" spans="1:8" x14ac:dyDescent="0.25">
      <c r="A72" s="3" t="s">
        <v>95</v>
      </c>
      <c r="B72" s="3" t="s">
        <v>96</v>
      </c>
      <c r="C72" s="3" t="s">
        <v>114</v>
      </c>
      <c r="D72" s="8">
        <v>11</v>
      </c>
      <c r="E72" s="17">
        <v>9</v>
      </c>
      <c r="F72" s="17">
        <v>13</v>
      </c>
      <c r="G72" s="11">
        <v>2290</v>
      </c>
      <c r="H72" s="11">
        <v>26169523</v>
      </c>
    </row>
    <row r="73" spans="1:8" x14ac:dyDescent="0.25">
      <c r="A73" s="3" t="s">
        <v>95</v>
      </c>
      <c r="B73" s="3" t="s">
        <v>96</v>
      </c>
      <c r="C73" s="3" t="s">
        <v>115</v>
      </c>
      <c r="D73" s="8">
        <v>58</v>
      </c>
      <c r="E73" s="17">
        <v>55</v>
      </c>
      <c r="F73" s="17">
        <v>61</v>
      </c>
      <c r="G73" s="11">
        <v>2290</v>
      </c>
      <c r="H73" s="11">
        <v>26169523</v>
      </c>
    </row>
    <row r="74" spans="1:8" x14ac:dyDescent="0.25">
      <c r="A74" s="3" t="s">
        <v>95</v>
      </c>
      <c r="B74" s="3" t="s">
        <v>96</v>
      </c>
      <c r="C74" s="3" t="s">
        <v>116</v>
      </c>
      <c r="D74" s="8">
        <v>52</v>
      </c>
      <c r="E74" s="17">
        <v>48</v>
      </c>
      <c r="F74" s="17">
        <v>55</v>
      </c>
      <c r="G74" s="11">
        <v>2290</v>
      </c>
      <c r="H74" s="11">
        <v>26169523</v>
      </c>
    </row>
    <row r="75" spans="1:8" x14ac:dyDescent="0.25">
      <c r="A75" s="3" t="s">
        <v>95</v>
      </c>
      <c r="B75" s="3" t="s">
        <v>96</v>
      </c>
      <c r="C75" s="3" t="s">
        <v>117</v>
      </c>
      <c r="D75" s="8">
        <v>48</v>
      </c>
      <c r="E75" s="17">
        <v>44</v>
      </c>
      <c r="F75" s="17">
        <v>51</v>
      </c>
      <c r="G75" s="11">
        <v>2290</v>
      </c>
      <c r="H75" s="11">
        <v>26169523</v>
      </c>
    </row>
    <row r="76" spans="1:8" x14ac:dyDescent="0.25">
      <c r="A76" s="3" t="s">
        <v>95</v>
      </c>
      <c r="B76" s="3" t="s">
        <v>96</v>
      </c>
      <c r="C76" s="3" t="s">
        <v>118</v>
      </c>
      <c r="D76" s="8">
        <v>9</v>
      </c>
      <c r="E76" s="17">
        <v>7</v>
      </c>
      <c r="F76" s="17">
        <v>11</v>
      </c>
      <c r="G76" s="11">
        <v>2290</v>
      </c>
      <c r="H76" s="11">
        <v>26169523</v>
      </c>
    </row>
    <row r="77" spans="1:8" x14ac:dyDescent="0.25">
      <c r="A77" s="3" t="s">
        <v>95</v>
      </c>
      <c r="B77" s="3" t="s">
        <v>96</v>
      </c>
      <c r="C77" s="3" t="s">
        <v>119</v>
      </c>
      <c r="D77" s="8">
        <v>38</v>
      </c>
      <c r="E77" s="17">
        <v>35</v>
      </c>
      <c r="F77" s="17">
        <v>42</v>
      </c>
      <c r="G77" s="11">
        <v>2290</v>
      </c>
      <c r="H77" s="11">
        <v>26169523</v>
      </c>
    </row>
    <row r="78" spans="1:8" x14ac:dyDescent="0.25">
      <c r="A78" s="3" t="s">
        <v>95</v>
      </c>
      <c r="B78" s="3" t="s">
        <v>96</v>
      </c>
      <c r="C78" s="3" t="s">
        <v>120</v>
      </c>
      <c r="D78" s="8">
        <v>16</v>
      </c>
      <c r="E78" s="17">
        <v>13</v>
      </c>
      <c r="F78" s="17">
        <v>18</v>
      </c>
      <c r="G78" s="11">
        <v>2290</v>
      </c>
      <c r="H78" s="11">
        <v>26169523</v>
      </c>
    </row>
    <row r="79" spans="1:8" x14ac:dyDescent="0.25">
      <c r="A79" s="3" t="s">
        <v>95</v>
      </c>
      <c r="B79" s="3" t="s">
        <v>96</v>
      </c>
      <c r="C79" s="3" t="s">
        <v>121</v>
      </c>
      <c r="D79" s="8">
        <v>9</v>
      </c>
      <c r="E79" s="17">
        <v>7</v>
      </c>
      <c r="F79" s="17">
        <v>10</v>
      </c>
      <c r="G79" s="11">
        <v>2290</v>
      </c>
      <c r="H79" s="11">
        <v>26169523</v>
      </c>
    </row>
    <row r="80" spans="1:8" x14ac:dyDescent="0.25">
      <c r="A80" s="3" t="s">
        <v>95</v>
      </c>
      <c r="B80" s="3" t="s">
        <v>96</v>
      </c>
      <c r="C80" s="3" t="s">
        <v>122</v>
      </c>
      <c r="D80" s="8">
        <v>65</v>
      </c>
      <c r="E80" s="17">
        <v>62</v>
      </c>
      <c r="F80" s="17">
        <v>69</v>
      </c>
      <c r="G80" s="11">
        <v>2290</v>
      </c>
      <c r="H80" s="11">
        <v>26169523</v>
      </c>
    </row>
    <row r="81" spans="1:8" x14ac:dyDescent="0.25">
      <c r="A81" s="3" t="s">
        <v>95</v>
      </c>
      <c r="B81" s="3" t="s">
        <v>96</v>
      </c>
      <c r="C81" s="3" t="s">
        <v>109</v>
      </c>
      <c r="D81" s="8">
        <v>2</v>
      </c>
      <c r="E81" s="17">
        <v>1</v>
      </c>
      <c r="F81" s="17">
        <v>3</v>
      </c>
      <c r="G81" s="11">
        <v>2290</v>
      </c>
      <c r="H81" s="11">
        <v>26169523</v>
      </c>
    </row>
    <row r="82" spans="1:8" x14ac:dyDescent="0.25">
      <c r="A82" s="3" t="s">
        <v>95</v>
      </c>
      <c r="B82" s="3" t="s">
        <v>96</v>
      </c>
      <c r="C82" s="3" t="s">
        <v>123</v>
      </c>
      <c r="D82" s="8">
        <v>7</v>
      </c>
      <c r="E82" s="17">
        <v>5</v>
      </c>
      <c r="F82" s="17">
        <v>8</v>
      </c>
      <c r="G82" s="11">
        <v>2290</v>
      </c>
      <c r="H82" s="11">
        <v>26169523</v>
      </c>
    </row>
    <row r="83" spans="1:8" ht="35.700000000000003" customHeight="1" x14ac:dyDescent="0.25">
      <c r="A83" s="3" t="s">
        <v>95</v>
      </c>
      <c r="B83" s="3" t="s">
        <v>97</v>
      </c>
      <c r="C83" s="3" t="s">
        <v>113</v>
      </c>
      <c r="D83" s="8">
        <v>55</v>
      </c>
      <c r="E83" s="17">
        <v>52</v>
      </c>
      <c r="F83" s="17">
        <v>58</v>
      </c>
      <c r="G83" s="11">
        <v>2330</v>
      </c>
      <c r="H83" s="11">
        <v>27757665</v>
      </c>
    </row>
    <row r="84" spans="1:8" x14ac:dyDescent="0.25">
      <c r="A84" s="3" t="s">
        <v>95</v>
      </c>
      <c r="B84" s="3" t="s">
        <v>97</v>
      </c>
      <c r="C84" s="3" t="s">
        <v>114</v>
      </c>
      <c r="D84" s="8">
        <v>17</v>
      </c>
      <c r="E84" s="17">
        <v>15</v>
      </c>
      <c r="F84" s="17">
        <v>19</v>
      </c>
      <c r="G84" s="11">
        <v>2330</v>
      </c>
      <c r="H84" s="11">
        <v>27757665</v>
      </c>
    </row>
    <row r="85" spans="1:8" x14ac:dyDescent="0.25">
      <c r="A85" s="3" t="s">
        <v>95</v>
      </c>
      <c r="B85" s="3" t="s">
        <v>97</v>
      </c>
      <c r="C85" s="3" t="s">
        <v>115</v>
      </c>
      <c r="D85" s="8">
        <v>71</v>
      </c>
      <c r="E85" s="17">
        <v>69</v>
      </c>
      <c r="F85" s="17">
        <v>74</v>
      </c>
      <c r="G85" s="11">
        <v>2330</v>
      </c>
      <c r="H85" s="11">
        <v>27757665</v>
      </c>
    </row>
    <row r="86" spans="1:8" x14ac:dyDescent="0.25">
      <c r="A86" s="3" t="s">
        <v>95</v>
      </c>
      <c r="B86" s="3" t="s">
        <v>97</v>
      </c>
      <c r="C86" s="3" t="s">
        <v>116</v>
      </c>
      <c r="D86" s="8">
        <v>45</v>
      </c>
      <c r="E86" s="17">
        <v>42</v>
      </c>
      <c r="F86" s="17">
        <v>48</v>
      </c>
      <c r="G86" s="11">
        <v>2330</v>
      </c>
      <c r="H86" s="11">
        <v>27757665</v>
      </c>
    </row>
    <row r="87" spans="1:8" x14ac:dyDescent="0.25">
      <c r="A87" s="3" t="s">
        <v>95</v>
      </c>
      <c r="B87" s="3" t="s">
        <v>97</v>
      </c>
      <c r="C87" s="3" t="s">
        <v>117</v>
      </c>
      <c r="D87" s="8">
        <v>52</v>
      </c>
      <c r="E87" s="17">
        <v>49</v>
      </c>
      <c r="F87" s="17">
        <v>55</v>
      </c>
      <c r="G87" s="11">
        <v>2330</v>
      </c>
      <c r="H87" s="11">
        <v>27757665</v>
      </c>
    </row>
    <row r="88" spans="1:8" x14ac:dyDescent="0.25">
      <c r="A88" s="3" t="s">
        <v>95</v>
      </c>
      <c r="B88" s="3" t="s">
        <v>97</v>
      </c>
      <c r="C88" s="3" t="s">
        <v>118</v>
      </c>
      <c r="D88" s="8">
        <v>13</v>
      </c>
      <c r="E88" s="17">
        <v>11</v>
      </c>
      <c r="F88" s="17">
        <v>15</v>
      </c>
      <c r="G88" s="11">
        <v>2330</v>
      </c>
      <c r="H88" s="11">
        <v>27757665</v>
      </c>
    </row>
    <row r="89" spans="1:8" x14ac:dyDescent="0.25">
      <c r="A89" s="3" t="s">
        <v>95</v>
      </c>
      <c r="B89" s="3" t="s">
        <v>97</v>
      </c>
      <c r="C89" s="3" t="s">
        <v>119</v>
      </c>
      <c r="D89" s="8">
        <v>44</v>
      </c>
      <c r="E89" s="17">
        <v>42</v>
      </c>
      <c r="F89" s="17">
        <v>47</v>
      </c>
      <c r="G89" s="11">
        <v>2330</v>
      </c>
      <c r="H89" s="11">
        <v>27757665</v>
      </c>
    </row>
    <row r="90" spans="1:8" x14ac:dyDescent="0.25">
      <c r="A90" s="3" t="s">
        <v>95</v>
      </c>
      <c r="B90" s="3" t="s">
        <v>97</v>
      </c>
      <c r="C90" s="3" t="s">
        <v>120</v>
      </c>
      <c r="D90" s="8">
        <v>19</v>
      </c>
      <c r="E90" s="17">
        <v>17</v>
      </c>
      <c r="F90" s="17">
        <v>22</v>
      </c>
      <c r="G90" s="11">
        <v>2330</v>
      </c>
      <c r="H90" s="11">
        <v>27757665</v>
      </c>
    </row>
    <row r="91" spans="1:8" x14ac:dyDescent="0.25">
      <c r="A91" s="3" t="s">
        <v>95</v>
      </c>
      <c r="B91" s="3" t="s">
        <v>97</v>
      </c>
      <c r="C91" s="3" t="s">
        <v>121</v>
      </c>
      <c r="D91" s="8">
        <v>13</v>
      </c>
      <c r="E91" s="17">
        <v>11</v>
      </c>
      <c r="F91" s="17">
        <v>14</v>
      </c>
      <c r="G91" s="11">
        <v>2330</v>
      </c>
      <c r="H91" s="11">
        <v>27757665</v>
      </c>
    </row>
    <row r="92" spans="1:8" x14ac:dyDescent="0.25">
      <c r="A92" s="3" t="s">
        <v>95</v>
      </c>
      <c r="B92" s="3" t="s">
        <v>97</v>
      </c>
      <c r="C92" s="3" t="s">
        <v>122</v>
      </c>
      <c r="D92" s="8">
        <v>68</v>
      </c>
      <c r="E92" s="17">
        <v>65</v>
      </c>
      <c r="F92" s="17">
        <v>70</v>
      </c>
      <c r="G92" s="11">
        <v>2330</v>
      </c>
      <c r="H92" s="11">
        <v>27757665</v>
      </c>
    </row>
    <row r="93" spans="1:8" x14ac:dyDescent="0.25">
      <c r="A93" s="3" t="s">
        <v>95</v>
      </c>
      <c r="B93" s="3" t="s">
        <v>97</v>
      </c>
      <c r="C93" s="3" t="s">
        <v>109</v>
      </c>
      <c r="D93" s="8">
        <v>2</v>
      </c>
      <c r="E93" s="17">
        <v>1</v>
      </c>
      <c r="F93" s="17">
        <v>3</v>
      </c>
      <c r="G93" s="11">
        <v>2330</v>
      </c>
      <c r="H93" s="11">
        <v>27757665</v>
      </c>
    </row>
    <row r="94" spans="1:8" x14ac:dyDescent="0.25">
      <c r="A94" s="3" t="s">
        <v>95</v>
      </c>
      <c r="B94" s="3" t="s">
        <v>97</v>
      </c>
      <c r="C94" s="3" t="s">
        <v>123</v>
      </c>
      <c r="D94" s="8">
        <v>5</v>
      </c>
      <c r="E94" s="17">
        <v>3</v>
      </c>
      <c r="F94" s="17">
        <v>6</v>
      </c>
      <c r="G94" s="11">
        <v>2330</v>
      </c>
      <c r="H94" s="11">
        <v>27757665</v>
      </c>
    </row>
    <row r="95" spans="1:8" ht="35.700000000000003" customHeight="1" x14ac:dyDescent="0.25">
      <c r="A95" s="3" t="s">
        <v>45</v>
      </c>
      <c r="B95" s="3" t="s">
        <v>88</v>
      </c>
      <c r="C95" s="3" t="s">
        <v>113</v>
      </c>
      <c r="D95" s="8">
        <v>60</v>
      </c>
      <c r="E95" s="17">
        <v>58</v>
      </c>
      <c r="F95" s="17">
        <v>63</v>
      </c>
      <c r="G95" s="11">
        <v>4010</v>
      </c>
      <c r="H95" s="11">
        <v>43893248</v>
      </c>
    </row>
    <row r="96" spans="1:8" x14ac:dyDescent="0.25">
      <c r="A96" s="3" t="s">
        <v>45</v>
      </c>
      <c r="B96" s="3" t="s">
        <v>88</v>
      </c>
      <c r="C96" s="3" t="s">
        <v>114</v>
      </c>
      <c r="D96" s="8">
        <v>13</v>
      </c>
      <c r="E96" s="17">
        <v>11</v>
      </c>
      <c r="F96" s="17">
        <v>14</v>
      </c>
      <c r="G96" s="11">
        <v>4010</v>
      </c>
      <c r="H96" s="11">
        <v>43893248</v>
      </c>
    </row>
    <row r="97" spans="1:8" x14ac:dyDescent="0.25">
      <c r="A97" s="3" t="s">
        <v>45</v>
      </c>
      <c r="B97" s="3" t="s">
        <v>88</v>
      </c>
      <c r="C97" s="3" t="s">
        <v>115</v>
      </c>
      <c r="D97" s="8">
        <v>68</v>
      </c>
      <c r="E97" s="17">
        <v>66</v>
      </c>
      <c r="F97" s="17">
        <v>70</v>
      </c>
      <c r="G97" s="11">
        <v>4010</v>
      </c>
      <c r="H97" s="11">
        <v>43893248</v>
      </c>
    </row>
    <row r="98" spans="1:8" x14ac:dyDescent="0.25">
      <c r="A98" s="3" t="s">
        <v>45</v>
      </c>
      <c r="B98" s="3" t="s">
        <v>88</v>
      </c>
      <c r="C98" s="3" t="s">
        <v>116</v>
      </c>
      <c r="D98" s="8">
        <v>51</v>
      </c>
      <c r="E98" s="17">
        <v>48</v>
      </c>
      <c r="F98" s="17">
        <v>53</v>
      </c>
      <c r="G98" s="11">
        <v>4010</v>
      </c>
      <c r="H98" s="11">
        <v>43893248</v>
      </c>
    </row>
    <row r="99" spans="1:8" x14ac:dyDescent="0.25">
      <c r="A99" s="3" t="s">
        <v>45</v>
      </c>
      <c r="B99" s="3" t="s">
        <v>88</v>
      </c>
      <c r="C99" s="3" t="s">
        <v>117</v>
      </c>
      <c r="D99" s="8">
        <v>55</v>
      </c>
      <c r="E99" s="17">
        <v>53</v>
      </c>
      <c r="F99" s="17">
        <v>57</v>
      </c>
      <c r="G99" s="11">
        <v>4010</v>
      </c>
      <c r="H99" s="11">
        <v>43893248</v>
      </c>
    </row>
    <row r="100" spans="1:8" x14ac:dyDescent="0.25">
      <c r="A100" s="3" t="s">
        <v>45</v>
      </c>
      <c r="B100" s="3" t="s">
        <v>88</v>
      </c>
      <c r="C100" s="3" t="s">
        <v>118</v>
      </c>
      <c r="D100" s="8">
        <v>8</v>
      </c>
      <c r="E100" s="17">
        <v>7</v>
      </c>
      <c r="F100" s="17">
        <v>10</v>
      </c>
      <c r="G100" s="11">
        <v>4010</v>
      </c>
      <c r="H100" s="11">
        <v>43893248</v>
      </c>
    </row>
    <row r="101" spans="1:8" x14ac:dyDescent="0.25">
      <c r="A101" s="3" t="s">
        <v>45</v>
      </c>
      <c r="B101" s="3" t="s">
        <v>88</v>
      </c>
      <c r="C101" s="3" t="s">
        <v>119</v>
      </c>
      <c r="D101" s="8">
        <v>39</v>
      </c>
      <c r="E101" s="17">
        <v>36</v>
      </c>
      <c r="F101" s="17">
        <v>41</v>
      </c>
      <c r="G101" s="11">
        <v>4010</v>
      </c>
      <c r="H101" s="11">
        <v>43893248</v>
      </c>
    </row>
    <row r="102" spans="1:8" x14ac:dyDescent="0.25">
      <c r="A102" s="3" t="s">
        <v>45</v>
      </c>
      <c r="B102" s="3" t="s">
        <v>88</v>
      </c>
      <c r="C102" s="3" t="s">
        <v>120</v>
      </c>
      <c r="D102" s="8">
        <v>17</v>
      </c>
      <c r="E102" s="17">
        <v>15</v>
      </c>
      <c r="F102" s="17">
        <v>19</v>
      </c>
      <c r="G102" s="11">
        <v>4010</v>
      </c>
      <c r="H102" s="11">
        <v>43893248</v>
      </c>
    </row>
    <row r="103" spans="1:8" x14ac:dyDescent="0.25">
      <c r="A103" s="3" t="s">
        <v>45</v>
      </c>
      <c r="B103" s="3" t="s">
        <v>88</v>
      </c>
      <c r="C103" s="3" t="s">
        <v>121</v>
      </c>
      <c r="D103" s="8">
        <v>12</v>
      </c>
      <c r="E103" s="17">
        <v>10</v>
      </c>
      <c r="F103" s="17">
        <v>13</v>
      </c>
      <c r="G103" s="11">
        <v>4010</v>
      </c>
      <c r="H103" s="11">
        <v>43893248</v>
      </c>
    </row>
    <row r="104" spans="1:8" x14ac:dyDescent="0.25">
      <c r="A104" s="3" t="s">
        <v>45</v>
      </c>
      <c r="B104" s="3" t="s">
        <v>88</v>
      </c>
      <c r="C104" s="3" t="s">
        <v>122</v>
      </c>
      <c r="D104" s="8">
        <v>69</v>
      </c>
      <c r="E104" s="17">
        <v>67</v>
      </c>
      <c r="F104" s="17">
        <v>72</v>
      </c>
      <c r="G104" s="11">
        <v>4010</v>
      </c>
      <c r="H104" s="11">
        <v>43893248</v>
      </c>
    </row>
    <row r="105" spans="1:8" x14ac:dyDescent="0.25">
      <c r="A105" s="3" t="s">
        <v>45</v>
      </c>
      <c r="B105" s="3" t="s">
        <v>88</v>
      </c>
      <c r="C105" s="3" t="s">
        <v>109</v>
      </c>
      <c r="D105" s="8">
        <v>2</v>
      </c>
      <c r="E105" s="17">
        <v>1</v>
      </c>
      <c r="F105" s="17">
        <v>3</v>
      </c>
      <c r="G105" s="11">
        <v>4010</v>
      </c>
      <c r="H105" s="11">
        <v>43893248</v>
      </c>
    </row>
    <row r="106" spans="1:8" x14ac:dyDescent="0.25">
      <c r="A106" s="3" t="s">
        <v>45</v>
      </c>
      <c r="B106" s="3" t="s">
        <v>88</v>
      </c>
      <c r="C106" s="3" t="s">
        <v>123</v>
      </c>
      <c r="D106" s="8">
        <v>5</v>
      </c>
      <c r="E106" s="17">
        <v>4</v>
      </c>
      <c r="F106" s="17">
        <v>6</v>
      </c>
      <c r="G106" s="11">
        <v>4010</v>
      </c>
      <c r="H106" s="11">
        <v>43893248</v>
      </c>
    </row>
    <row r="107" spans="1:8" ht="35.700000000000003" customHeight="1" x14ac:dyDescent="0.25">
      <c r="A107" s="3" t="s">
        <v>45</v>
      </c>
      <c r="B107" s="3" t="s">
        <v>89</v>
      </c>
      <c r="C107" s="3" t="s">
        <v>113</v>
      </c>
      <c r="D107" s="8">
        <v>38</v>
      </c>
      <c r="E107" s="17">
        <v>32</v>
      </c>
      <c r="F107" s="17">
        <v>43</v>
      </c>
      <c r="G107" s="11">
        <v>590</v>
      </c>
      <c r="H107" s="11">
        <v>9946444</v>
      </c>
    </row>
    <row r="108" spans="1:8" ht="30" x14ac:dyDescent="0.25">
      <c r="A108" s="3" t="s">
        <v>45</v>
      </c>
      <c r="B108" s="3" t="s">
        <v>89</v>
      </c>
      <c r="C108" s="3" t="s">
        <v>114</v>
      </c>
      <c r="D108" s="8">
        <v>19</v>
      </c>
      <c r="E108" s="17">
        <v>15</v>
      </c>
      <c r="F108" s="17">
        <v>24</v>
      </c>
      <c r="G108" s="11">
        <v>590</v>
      </c>
      <c r="H108" s="11">
        <v>9946444</v>
      </c>
    </row>
    <row r="109" spans="1:8" ht="30" x14ac:dyDescent="0.25">
      <c r="A109" s="3" t="s">
        <v>45</v>
      </c>
      <c r="B109" s="3" t="s">
        <v>89</v>
      </c>
      <c r="C109" s="3" t="s">
        <v>115</v>
      </c>
      <c r="D109" s="8">
        <v>51</v>
      </c>
      <c r="E109" s="17">
        <v>45</v>
      </c>
      <c r="F109" s="17">
        <v>56</v>
      </c>
      <c r="G109" s="11">
        <v>590</v>
      </c>
      <c r="H109" s="11">
        <v>9946444</v>
      </c>
    </row>
    <row r="110" spans="1:8" ht="30" x14ac:dyDescent="0.25">
      <c r="A110" s="3" t="s">
        <v>45</v>
      </c>
      <c r="B110" s="3" t="s">
        <v>89</v>
      </c>
      <c r="C110" s="3" t="s">
        <v>116</v>
      </c>
      <c r="D110" s="8">
        <v>37</v>
      </c>
      <c r="E110" s="17">
        <v>32</v>
      </c>
      <c r="F110" s="17">
        <v>43</v>
      </c>
      <c r="G110" s="11">
        <v>590</v>
      </c>
      <c r="H110" s="11">
        <v>9946444</v>
      </c>
    </row>
    <row r="111" spans="1:8" ht="30" x14ac:dyDescent="0.25">
      <c r="A111" s="3" t="s">
        <v>45</v>
      </c>
      <c r="B111" s="3" t="s">
        <v>89</v>
      </c>
      <c r="C111" s="3" t="s">
        <v>117</v>
      </c>
      <c r="D111" s="8">
        <v>27</v>
      </c>
      <c r="E111" s="17">
        <v>22</v>
      </c>
      <c r="F111" s="17">
        <v>31</v>
      </c>
      <c r="G111" s="11">
        <v>590</v>
      </c>
      <c r="H111" s="11">
        <v>9946444</v>
      </c>
    </row>
    <row r="112" spans="1:8" ht="30" x14ac:dyDescent="0.25">
      <c r="A112" s="3" t="s">
        <v>45</v>
      </c>
      <c r="B112" s="3" t="s">
        <v>89</v>
      </c>
      <c r="C112" s="3" t="s">
        <v>118</v>
      </c>
      <c r="D112" s="8">
        <v>25</v>
      </c>
      <c r="E112" s="17">
        <v>20</v>
      </c>
      <c r="F112" s="17">
        <v>30</v>
      </c>
      <c r="G112" s="11">
        <v>590</v>
      </c>
      <c r="H112" s="11">
        <v>9946444</v>
      </c>
    </row>
    <row r="113" spans="1:8" ht="30" x14ac:dyDescent="0.25">
      <c r="A113" s="3" t="s">
        <v>45</v>
      </c>
      <c r="B113" s="3" t="s">
        <v>89</v>
      </c>
      <c r="C113" s="3" t="s">
        <v>119</v>
      </c>
      <c r="D113" s="8">
        <v>53</v>
      </c>
      <c r="E113" s="17">
        <v>47</v>
      </c>
      <c r="F113" s="17">
        <v>59</v>
      </c>
      <c r="G113" s="11">
        <v>590</v>
      </c>
      <c r="H113" s="11">
        <v>9946444</v>
      </c>
    </row>
    <row r="114" spans="1:8" ht="30" x14ac:dyDescent="0.25">
      <c r="A114" s="3" t="s">
        <v>45</v>
      </c>
      <c r="B114" s="3" t="s">
        <v>89</v>
      </c>
      <c r="C114" s="3" t="s">
        <v>120</v>
      </c>
      <c r="D114" s="8">
        <v>21</v>
      </c>
      <c r="E114" s="17">
        <v>16</v>
      </c>
      <c r="F114" s="17">
        <v>25</v>
      </c>
      <c r="G114" s="11">
        <v>590</v>
      </c>
      <c r="H114" s="11">
        <v>9946444</v>
      </c>
    </row>
    <row r="115" spans="1:8" ht="30" x14ac:dyDescent="0.25">
      <c r="A115" s="3" t="s">
        <v>45</v>
      </c>
      <c r="B115" s="3" t="s">
        <v>89</v>
      </c>
      <c r="C115" s="3" t="s">
        <v>121</v>
      </c>
      <c r="D115" s="8">
        <v>6</v>
      </c>
      <c r="E115" s="17">
        <v>4</v>
      </c>
      <c r="F115" s="17">
        <v>8</v>
      </c>
      <c r="G115" s="11">
        <v>590</v>
      </c>
      <c r="H115" s="11">
        <v>9946444</v>
      </c>
    </row>
    <row r="116" spans="1:8" ht="30" x14ac:dyDescent="0.25">
      <c r="A116" s="3" t="s">
        <v>45</v>
      </c>
      <c r="B116" s="3" t="s">
        <v>89</v>
      </c>
      <c r="C116" s="3" t="s">
        <v>122</v>
      </c>
      <c r="D116" s="8">
        <v>54</v>
      </c>
      <c r="E116" s="17">
        <v>48</v>
      </c>
      <c r="F116" s="17">
        <v>59</v>
      </c>
      <c r="G116" s="11">
        <v>590</v>
      </c>
      <c r="H116" s="11">
        <v>9946444</v>
      </c>
    </row>
    <row r="117" spans="1:8" ht="30" x14ac:dyDescent="0.25">
      <c r="A117" s="3" t="s">
        <v>45</v>
      </c>
      <c r="B117" s="3" t="s">
        <v>89</v>
      </c>
      <c r="C117" s="3" t="s">
        <v>109</v>
      </c>
      <c r="D117" s="8">
        <v>2</v>
      </c>
      <c r="E117" s="17">
        <v>0</v>
      </c>
      <c r="F117" s="17">
        <v>4</v>
      </c>
      <c r="G117" s="11">
        <v>590</v>
      </c>
      <c r="H117" s="11">
        <v>9946444</v>
      </c>
    </row>
    <row r="118" spans="1:8" ht="30" x14ac:dyDescent="0.25">
      <c r="A118" s="3" t="s">
        <v>45</v>
      </c>
      <c r="B118" s="3" t="s">
        <v>89</v>
      </c>
      <c r="C118" s="3" t="s">
        <v>123</v>
      </c>
      <c r="D118" s="8">
        <v>10</v>
      </c>
      <c r="E118" s="17">
        <v>6</v>
      </c>
      <c r="F118" s="17">
        <v>13</v>
      </c>
      <c r="G118" s="11">
        <v>590</v>
      </c>
      <c r="H118" s="11">
        <v>9946444</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
  <sheetViews>
    <sheetView workbookViewId="0"/>
  </sheetViews>
  <sheetFormatPr defaultColWidth="10.90625" defaultRowHeight="15" x14ac:dyDescent="0.25"/>
  <cols>
    <col min="1" max="1" width="17.81640625" customWidth="1"/>
    <col min="2" max="2" width="23.6328125" customWidth="1"/>
    <col min="3" max="7" width="16.81640625" customWidth="1"/>
  </cols>
  <sheetData>
    <row r="1" spans="1:7" ht="21" x14ac:dyDescent="0.4">
      <c r="A1" s="5" t="s">
        <v>124</v>
      </c>
    </row>
    <row r="2" spans="1:7" ht="16.8" x14ac:dyDescent="0.3">
      <c r="A2" s="21" t="s">
        <v>76</v>
      </c>
    </row>
    <row r="3" spans="1:7" x14ac:dyDescent="0.25">
      <c r="A3" t="s">
        <v>37</v>
      </c>
    </row>
    <row r="4" spans="1:7" x14ac:dyDescent="0.25">
      <c r="A4" t="s">
        <v>77</v>
      </c>
    </row>
    <row r="5" spans="1:7" x14ac:dyDescent="0.25">
      <c r="A5" s="25" t="str">
        <f>HYPERLINK("#'Cover'!A29", "If shorthand is present please refer to the Suppression and shorthand section in the Cover_sheet tab")</f>
        <v>If shorthand is present please refer to the Suppression and shorthand section in the Cover_sheet tab</v>
      </c>
    </row>
    <row r="6" spans="1:7" x14ac:dyDescent="0.25">
      <c r="A6" s="19" t="str">
        <f>HYPERLINK("#'Contents'!A1", "Return to table of contents")</f>
        <v>Return to table of contents</v>
      </c>
    </row>
    <row r="7" spans="1:7" x14ac:dyDescent="0.25">
      <c r="A7" t="s">
        <v>78</v>
      </c>
    </row>
    <row r="8" spans="1:7" ht="15.6" x14ac:dyDescent="0.3">
      <c r="A8" s="20" t="s">
        <v>125</v>
      </c>
    </row>
    <row r="9" spans="1:7" ht="15.6" x14ac:dyDescent="0.3">
      <c r="A9" s="20" t="s">
        <v>1</v>
      </c>
    </row>
    <row r="10" spans="1:7" ht="31.2" x14ac:dyDescent="0.3">
      <c r="A10" s="9" t="s">
        <v>80</v>
      </c>
      <c r="B10" s="9" t="s">
        <v>81</v>
      </c>
      <c r="C10" s="10" t="s">
        <v>126</v>
      </c>
      <c r="D10" s="10" t="s">
        <v>84</v>
      </c>
      <c r="E10" s="10" t="s">
        <v>85</v>
      </c>
      <c r="F10" s="10" t="s">
        <v>20</v>
      </c>
      <c r="G10" s="10" t="s">
        <v>17</v>
      </c>
    </row>
    <row r="11" spans="1:7" x14ac:dyDescent="0.25">
      <c r="A11" s="3" t="s">
        <v>86</v>
      </c>
      <c r="B11" s="3" t="s">
        <v>87</v>
      </c>
      <c r="C11" s="18">
        <v>6.2</v>
      </c>
      <c r="D11" s="18">
        <v>6.1</v>
      </c>
      <c r="E11" s="18">
        <v>6.3</v>
      </c>
      <c r="F11" s="11">
        <v>4610</v>
      </c>
      <c r="G11" s="11">
        <v>53894841</v>
      </c>
    </row>
    <row r="12" spans="1:7" ht="35.700000000000003" customHeight="1" x14ac:dyDescent="0.25">
      <c r="A12" s="3" t="s">
        <v>90</v>
      </c>
      <c r="B12" s="3" t="s">
        <v>91</v>
      </c>
      <c r="C12" s="18">
        <v>6</v>
      </c>
      <c r="D12" s="18">
        <v>5.7</v>
      </c>
      <c r="E12" s="18">
        <v>6.2</v>
      </c>
      <c r="F12" s="11">
        <v>260</v>
      </c>
      <c r="G12" s="11">
        <v>9933335</v>
      </c>
    </row>
    <row r="13" spans="1:7" ht="35.700000000000003" customHeight="1" x14ac:dyDescent="0.25">
      <c r="A13" s="3" t="s">
        <v>90</v>
      </c>
      <c r="B13" s="3" t="s">
        <v>92</v>
      </c>
      <c r="C13" s="18">
        <v>6</v>
      </c>
      <c r="D13" s="18">
        <v>5.8</v>
      </c>
      <c r="E13" s="18">
        <v>6.2</v>
      </c>
      <c r="F13" s="11">
        <v>670</v>
      </c>
      <c r="G13" s="11">
        <v>18109142</v>
      </c>
    </row>
    <row r="14" spans="1:7" ht="35.700000000000003" customHeight="1" x14ac:dyDescent="0.25">
      <c r="A14" s="3" t="s">
        <v>90</v>
      </c>
      <c r="B14" s="3" t="s">
        <v>93</v>
      </c>
      <c r="C14" s="18">
        <v>6.2</v>
      </c>
      <c r="D14" s="18">
        <v>6</v>
      </c>
      <c r="E14" s="18">
        <v>6.3</v>
      </c>
      <c r="F14" s="11">
        <v>1710</v>
      </c>
      <c r="G14" s="11">
        <v>16669073</v>
      </c>
    </row>
    <row r="15" spans="1:7" ht="35.700000000000003" customHeight="1" x14ac:dyDescent="0.25">
      <c r="A15" s="3" t="s">
        <v>90</v>
      </c>
      <c r="B15" s="3" t="s">
        <v>94</v>
      </c>
      <c r="C15" s="18">
        <v>7.1</v>
      </c>
      <c r="D15" s="18">
        <v>7</v>
      </c>
      <c r="E15" s="18">
        <v>7.2</v>
      </c>
      <c r="F15" s="11">
        <v>1970</v>
      </c>
      <c r="G15" s="11">
        <v>9183291</v>
      </c>
    </row>
    <row r="16" spans="1:7" ht="35.700000000000003" customHeight="1" x14ac:dyDescent="0.25">
      <c r="A16" s="3" t="s">
        <v>95</v>
      </c>
      <c r="B16" s="3" t="s">
        <v>96</v>
      </c>
      <c r="C16" s="18">
        <v>6.2</v>
      </c>
      <c r="D16" s="18">
        <v>6.1</v>
      </c>
      <c r="E16" s="18">
        <v>6.4</v>
      </c>
      <c r="F16" s="11">
        <v>2290</v>
      </c>
      <c r="G16" s="11">
        <v>26169203</v>
      </c>
    </row>
    <row r="17" spans="1:7" ht="35.700000000000003" customHeight="1" x14ac:dyDescent="0.25">
      <c r="A17" s="3" t="s">
        <v>95</v>
      </c>
      <c r="B17" s="3" t="s">
        <v>97</v>
      </c>
      <c r="C17" s="18">
        <v>6.2</v>
      </c>
      <c r="D17" s="18">
        <v>6.1</v>
      </c>
      <c r="E17" s="18">
        <v>6.4</v>
      </c>
      <c r="F17" s="11">
        <v>2330</v>
      </c>
      <c r="G17" s="11">
        <v>27725638</v>
      </c>
    </row>
    <row r="18" spans="1:7" ht="35.700000000000003" customHeight="1" x14ac:dyDescent="0.25">
      <c r="A18" s="3" t="s">
        <v>45</v>
      </c>
      <c r="B18" s="3" t="s">
        <v>88</v>
      </c>
      <c r="C18" s="18">
        <v>6.5</v>
      </c>
      <c r="D18" s="18">
        <v>6.4</v>
      </c>
      <c r="E18" s="18">
        <v>6.6</v>
      </c>
      <c r="F18" s="11">
        <v>4010</v>
      </c>
      <c r="G18" s="11">
        <v>43867623</v>
      </c>
    </row>
    <row r="19" spans="1:7" ht="35.700000000000003" customHeight="1" x14ac:dyDescent="0.25">
      <c r="A19" s="3" t="s">
        <v>45</v>
      </c>
      <c r="B19" s="3" t="s">
        <v>89</v>
      </c>
      <c r="C19" s="18">
        <v>4.9000000000000004</v>
      </c>
      <c r="D19" s="18">
        <v>4.5999999999999996</v>
      </c>
      <c r="E19" s="18">
        <v>5.2</v>
      </c>
      <c r="F19" s="11">
        <v>590</v>
      </c>
      <c r="G19" s="11">
        <v>9946444</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heetViews>
  <sheetFormatPr defaultColWidth="10.90625" defaultRowHeight="15" x14ac:dyDescent="0.25"/>
  <cols>
    <col min="1" max="1" width="17.81640625" customWidth="1"/>
    <col min="2" max="2" width="23.6328125" customWidth="1"/>
    <col min="3" max="3" width="34.81640625" customWidth="1"/>
    <col min="4" max="8" width="16.81640625" customWidth="1"/>
  </cols>
  <sheetData>
    <row r="1" spans="1:8" ht="21" x14ac:dyDescent="0.4">
      <c r="A1" s="5" t="s">
        <v>127</v>
      </c>
    </row>
    <row r="2" spans="1:8" ht="16.8" x14ac:dyDescent="0.3">
      <c r="A2" s="21" t="s">
        <v>76</v>
      </c>
    </row>
    <row r="3" spans="1:8" x14ac:dyDescent="0.25">
      <c r="A3" t="s">
        <v>37</v>
      </c>
    </row>
    <row r="4" spans="1:8" x14ac:dyDescent="0.25">
      <c r="A4" t="s">
        <v>77</v>
      </c>
    </row>
    <row r="5" spans="1:8" x14ac:dyDescent="0.25">
      <c r="A5" s="25" t="str">
        <f>HYPERLINK("#'Cover'!A29", "If shorthand is present please refer to the Suppression and shorthand section in the Cover_sheet tab")</f>
        <v>If shorthand is present please refer to the Suppression and shorthand section in the Cover_sheet tab</v>
      </c>
    </row>
    <row r="6" spans="1:8" x14ac:dyDescent="0.25">
      <c r="A6" s="19" t="str">
        <f>HYPERLINK("#'Contents'!A1", "Return to table of contents")</f>
        <v>Return to table of contents</v>
      </c>
    </row>
    <row r="7" spans="1:8" x14ac:dyDescent="0.25">
      <c r="A7" t="s">
        <v>78</v>
      </c>
    </row>
    <row r="8" spans="1:8" ht="15.6" x14ac:dyDescent="0.3">
      <c r="A8" s="20" t="s">
        <v>128</v>
      </c>
    </row>
    <row r="9" spans="1:8" ht="15.6" x14ac:dyDescent="0.3">
      <c r="A9" s="20" t="s">
        <v>1</v>
      </c>
    </row>
    <row r="10" spans="1:8" ht="31.2" x14ac:dyDescent="0.3">
      <c r="A10" s="9" t="s">
        <v>80</v>
      </c>
      <c r="B10" s="9" t="s">
        <v>81</v>
      </c>
      <c r="C10" s="9" t="s">
        <v>82</v>
      </c>
      <c r="D10" s="10" t="s">
        <v>83</v>
      </c>
      <c r="E10" s="10" t="s">
        <v>84</v>
      </c>
      <c r="F10" s="10" t="s">
        <v>85</v>
      </c>
      <c r="G10" s="10" t="s">
        <v>20</v>
      </c>
      <c r="H10" s="10" t="s">
        <v>17</v>
      </c>
    </row>
    <row r="11" spans="1:8" x14ac:dyDescent="0.25">
      <c r="A11" s="3" t="s">
        <v>86</v>
      </c>
      <c r="B11" s="3" t="s">
        <v>87</v>
      </c>
      <c r="C11" s="3" t="s">
        <v>129</v>
      </c>
      <c r="D11" s="8">
        <v>67</v>
      </c>
      <c r="E11" s="17">
        <v>65</v>
      </c>
      <c r="F11" s="17">
        <v>69</v>
      </c>
      <c r="G11" s="11">
        <v>4610</v>
      </c>
      <c r="H11" s="11">
        <v>53894841</v>
      </c>
    </row>
    <row r="12" spans="1:8" ht="35.700000000000003" customHeight="1" x14ac:dyDescent="0.25">
      <c r="A12" s="3" t="s">
        <v>90</v>
      </c>
      <c r="B12" s="3" t="s">
        <v>91</v>
      </c>
      <c r="C12" s="3" t="s">
        <v>129</v>
      </c>
      <c r="D12" s="8">
        <v>62</v>
      </c>
      <c r="E12" s="17">
        <v>56</v>
      </c>
      <c r="F12" s="17">
        <v>69</v>
      </c>
      <c r="G12" s="11">
        <v>260</v>
      </c>
      <c r="H12" s="11">
        <v>9933335</v>
      </c>
    </row>
    <row r="13" spans="1:8" ht="35.700000000000003" customHeight="1" x14ac:dyDescent="0.25">
      <c r="A13" s="3" t="s">
        <v>90</v>
      </c>
      <c r="B13" s="3" t="s">
        <v>92</v>
      </c>
      <c r="C13" s="3" t="s">
        <v>129</v>
      </c>
      <c r="D13" s="8">
        <v>63</v>
      </c>
      <c r="E13" s="17">
        <v>59</v>
      </c>
      <c r="F13" s="17">
        <v>68</v>
      </c>
      <c r="G13" s="11">
        <v>670</v>
      </c>
      <c r="H13" s="11">
        <v>18109142</v>
      </c>
    </row>
    <row r="14" spans="1:8" ht="35.700000000000003" customHeight="1" x14ac:dyDescent="0.25">
      <c r="A14" s="3" t="s">
        <v>90</v>
      </c>
      <c r="B14" s="3" t="s">
        <v>93</v>
      </c>
      <c r="C14" s="3" t="s">
        <v>129</v>
      </c>
      <c r="D14" s="8">
        <v>66</v>
      </c>
      <c r="E14" s="17">
        <v>63</v>
      </c>
      <c r="F14" s="17">
        <v>69</v>
      </c>
      <c r="G14" s="11">
        <v>1710</v>
      </c>
      <c r="H14" s="11">
        <v>16669073</v>
      </c>
    </row>
    <row r="15" spans="1:8" ht="35.700000000000003" customHeight="1" x14ac:dyDescent="0.25">
      <c r="A15" s="3" t="s">
        <v>90</v>
      </c>
      <c r="B15" s="3" t="s">
        <v>94</v>
      </c>
      <c r="C15" s="3" t="s">
        <v>129</v>
      </c>
      <c r="D15" s="8">
        <v>80</v>
      </c>
      <c r="E15" s="17">
        <v>78</v>
      </c>
      <c r="F15" s="17">
        <v>82</v>
      </c>
      <c r="G15" s="11">
        <v>1970</v>
      </c>
      <c r="H15" s="11">
        <v>9183291</v>
      </c>
    </row>
    <row r="16" spans="1:8" ht="35.700000000000003" customHeight="1" x14ac:dyDescent="0.25">
      <c r="A16" s="3" t="s">
        <v>95</v>
      </c>
      <c r="B16" s="3" t="s">
        <v>96</v>
      </c>
      <c r="C16" s="3" t="s">
        <v>129</v>
      </c>
      <c r="D16" s="8">
        <v>67</v>
      </c>
      <c r="E16" s="17">
        <v>63</v>
      </c>
      <c r="F16" s="17">
        <v>70</v>
      </c>
      <c r="G16" s="11">
        <v>2290</v>
      </c>
      <c r="H16" s="11">
        <v>26169203</v>
      </c>
    </row>
    <row r="17" spans="1:8" ht="35.700000000000003" customHeight="1" x14ac:dyDescent="0.25">
      <c r="A17" s="3" t="s">
        <v>95</v>
      </c>
      <c r="B17" s="3" t="s">
        <v>97</v>
      </c>
      <c r="C17" s="3" t="s">
        <v>129</v>
      </c>
      <c r="D17" s="8">
        <v>67</v>
      </c>
      <c r="E17" s="17">
        <v>64</v>
      </c>
      <c r="F17" s="17">
        <v>70</v>
      </c>
      <c r="G17" s="11">
        <v>2330</v>
      </c>
      <c r="H17" s="11">
        <v>27725638</v>
      </c>
    </row>
    <row r="18" spans="1:8" ht="35.700000000000003" customHeight="1" x14ac:dyDescent="0.25">
      <c r="A18" s="3" t="s">
        <v>45</v>
      </c>
      <c r="B18" s="3" t="s">
        <v>88</v>
      </c>
      <c r="C18" s="3" t="s">
        <v>129</v>
      </c>
      <c r="D18" s="8">
        <v>72</v>
      </c>
      <c r="E18" s="17">
        <v>70</v>
      </c>
      <c r="F18" s="17">
        <v>74</v>
      </c>
      <c r="G18" s="11">
        <v>4010</v>
      </c>
      <c r="H18" s="11">
        <v>43867623</v>
      </c>
    </row>
    <row r="19" spans="1:8" ht="35.700000000000003" customHeight="1" x14ac:dyDescent="0.25">
      <c r="A19" s="3" t="s">
        <v>45</v>
      </c>
      <c r="B19" s="3" t="s">
        <v>89</v>
      </c>
      <c r="C19" s="3" t="s">
        <v>129</v>
      </c>
      <c r="D19" s="8">
        <v>44</v>
      </c>
      <c r="E19" s="17">
        <v>38</v>
      </c>
      <c r="F19" s="17">
        <v>50</v>
      </c>
      <c r="G19" s="11">
        <v>590</v>
      </c>
      <c r="H19" s="11">
        <v>9946444</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4"/>
  <sheetViews>
    <sheetView workbookViewId="0"/>
  </sheetViews>
  <sheetFormatPr defaultColWidth="10.90625" defaultRowHeight="15" x14ac:dyDescent="0.25"/>
  <cols>
    <col min="1" max="1" width="17.81640625" customWidth="1"/>
    <col min="2" max="2" width="23.6328125" customWidth="1"/>
    <col min="3" max="3" width="34.81640625" customWidth="1"/>
    <col min="4" max="9" width="16.81640625" customWidth="1"/>
  </cols>
  <sheetData>
    <row r="1" spans="1:9" ht="21" x14ac:dyDescent="0.4">
      <c r="A1" s="5" t="s">
        <v>130</v>
      </c>
    </row>
    <row r="2" spans="1:9" ht="16.8" x14ac:dyDescent="0.3">
      <c r="A2" s="21" t="s">
        <v>76</v>
      </c>
    </row>
    <row r="3" spans="1:9" x14ac:dyDescent="0.25">
      <c r="A3" t="s">
        <v>37</v>
      </c>
    </row>
    <row r="4" spans="1:9" x14ac:dyDescent="0.25">
      <c r="A4" t="s">
        <v>77</v>
      </c>
    </row>
    <row r="5" spans="1:9" x14ac:dyDescent="0.25">
      <c r="A5" t="s">
        <v>131</v>
      </c>
    </row>
    <row r="6" spans="1:9" x14ac:dyDescent="0.25">
      <c r="A6" s="25" t="str">
        <f>HYPERLINK("#'Cover'!A29", "If shorthand is present please refer to the Suppression and shorthand section in the Cover_sheet tab")</f>
        <v>If shorthand is present please refer to the Suppression and shorthand section in the Cover_sheet tab</v>
      </c>
    </row>
    <row r="7" spans="1:9" x14ac:dyDescent="0.25">
      <c r="A7" s="19" t="str">
        <f>HYPERLINK("#'Contents'!A1", "Return to table of contents")</f>
        <v>Return to table of contents</v>
      </c>
    </row>
    <row r="8" spans="1:9" x14ac:dyDescent="0.25">
      <c r="A8" t="s">
        <v>78</v>
      </c>
    </row>
    <row r="9" spans="1:9" ht="15.6" x14ac:dyDescent="0.3">
      <c r="A9" s="20" t="s">
        <v>132</v>
      </c>
    </row>
    <row r="10" spans="1:9" ht="15.6" x14ac:dyDescent="0.3">
      <c r="A10" s="20" t="s">
        <v>1</v>
      </c>
    </row>
    <row r="11" spans="1:9" ht="31.2" x14ac:dyDescent="0.3">
      <c r="A11" s="9" t="s">
        <v>80</v>
      </c>
      <c r="B11" s="9" t="s">
        <v>81</v>
      </c>
      <c r="C11" s="9" t="s">
        <v>82</v>
      </c>
      <c r="D11" s="10" t="s">
        <v>83</v>
      </c>
      <c r="E11" s="10" t="s">
        <v>84</v>
      </c>
      <c r="F11" s="10" t="s">
        <v>85</v>
      </c>
      <c r="G11" s="10" t="s">
        <v>20</v>
      </c>
      <c r="H11" s="10" t="s">
        <v>17</v>
      </c>
      <c r="I11" s="9" t="s">
        <v>43</v>
      </c>
    </row>
    <row r="12" spans="1:9" x14ac:dyDescent="0.25">
      <c r="A12" s="3" t="s">
        <v>86</v>
      </c>
      <c r="B12" s="3" t="s">
        <v>87</v>
      </c>
      <c r="C12" s="3" t="s">
        <v>133</v>
      </c>
      <c r="D12" s="8">
        <v>13</v>
      </c>
      <c r="E12" s="17">
        <v>12</v>
      </c>
      <c r="F12" s="17">
        <v>15</v>
      </c>
      <c r="G12" s="11">
        <v>4620</v>
      </c>
      <c r="H12" s="11">
        <v>53927188</v>
      </c>
      <c r="I12" s="3"/>
    </row>
    <row r="13" spans="1:9" x14ac:dyDescent="0.25">
      <c r="A13" s="3" t="s">
        <v>86</v>
      </c>
      <c r="B13" s="3" t="s">
        <v>87</v>
      </c>
      <c r="C13" s="3" t="s">
        <v>134</v>
      </c>
      <c r="D13" s="8">
        <v>40</v>
      </c>
      <c r="E13" s="17">
        <v>38</v>
      </c>
      <c r="F13" s="17">
        <v>42</v>
      </c>
      <c r="G13" s="11">
        <v>4620</v>
      </c>
      <c r="H13" s="11">
        <v>53927188</v>
      </c>
      <c r="I13" s="3"/>
    </row>
    <row r="14" spans="1:9" x14ac:dyDescent="0.25">
      <c r="A14" s="3" t="s">
        <v>86</v>
      </c>
      <c r="B14" s="3" t="s">
        <v>87</v>
      </c>
      <c r="C14" s="3" t="s">
        <v>135</v>
      </c>
      <c r="D14" s="8">
        <v>35</v>
      </c>
      <c r="E14" s="17">
        <v>32</v>
      </c>
      <c r="F14" s="17">
        <v>37</v>
      </c>
      <c r="G14" s="11">
        <v>4620</v>
      </c>
      <c r="H14" s="11">
        <v>53927188</v>
      </c>
      <c r="I14" s="3"/>
    </row>
    <row r="15" spans="1:9" x14ac:dyDescent="0.25">
      <c r="A15" s="3" t="s">
        <v>86</v>
      </c>
      <c r="B15" s="3" t="s">
        <v>87</v>
      </c>
      <c r="C15" s="3" t="s">
        <v>136</v>
      </c>
      <c r="D15" s="8">
        <v>9</v>
      </c>
      <c r="E15" s="17">
        <v>8</v>
      </c>
      <c r="F15" s="17">
        <v>10</v>
      </c>
      <c r="G15" s="11">
        <v>4620</v>
      </c>
      <c r="H15" s="11">
        <v>53927188</v>
      </c>
      <c r="I15" s="3"/>
    </row>
    <row r="16" spans="1:9" x14ac:dyDescent="0.25">
      <c r="A16" s="3" t="s">
        <v>86</v>
      </c>
      <c r="B16" s="3" t="s">
        <v>87</v>
      </c>
      <c r="C16" s="3" t="s">
        <v>137</v>
      </c>
      <c r="D16" s="8">
        <v>3</v>
      </c>
      <c r="E16" s="17">
        <v>2</v>
      </c>
      <c r="F16" s="17">
        <v>4</v>
      </c>
      <c r="G16" s="11">
        <v>4620</v>
      </c>
      <c r="H16" s="11">
        <v>53927188</v>
      </c>
      <c r="I16" s="3"/>
    </row>
    <row r="17" spans="1:9" x14ac:dyDescent="0.25">
      <c r="A17" s="3" t="s">
        <v>86</v>
      </c>
      <c r="B17" s="3" t="s">
        <v>87</v>
      </c>
      <c r="C17" s="3" t="s">
        <v>138</v>
      </c>
      <c r="D17" s="8">
        <v>53</v>
      </c>
      <c r="E17" s="17">
        <v>51</v>
      </c>
      <c r="F17" s="17">
        <v>55</v>
      </c>
      <c r="G17" s="11">
        <v>4620</v>
      </c>
      <c r="H17" s="11">
        <v>53927188</v>
      </c>
      <c r="I17" s="3" t="s">
        <v>139</v>
      </c>
    </row>
    <row r="18" spans="1:9" x14ac:dyDescent="0.25">
      <c r="A18" s="3" t="s">
        <v>86</v>
      </c>
      <c r="B18" s="3" t="s">
        <v>87</v>
      </c>
      <c r="C18" s="3" t="s">
        <v>140</v>
      </c>
      <c r="D18" s="8">
        <v>12</v>
      </c>
      <c r="E18" s="17">
        <v>11</v>
      </c>
      <c r="F18" s="17">
        <v>14</v>
      </c>
      <c r="G18" s="11">
        <v>4620</v>
      </c>
      <c r="H18" s="11">
        <v>53927188</v>
      </c>
      <c r="I18" s="3" t="s">
        <v>139</v>
      </c>
    </row>
    <row r="19" spans="1:9" ht="35.700000000000003" customHeight="1" x14ac:dyDescent="0.25">
      <c r="A19" s="3" t="s">
        <v>90</v>
      </c>
      <c r="B19" s="3" t="s">
        <v>91</v>
      </c>
      <c r="C19" s="3" t="s">
        <v>133</v>
      </c>
      <c r="D19" s="8">
        <v>11</v>
      </c>
      <c r="E19" s="17">
        <v>7</v>
      </c>
      <c r="F19" s="17">
        <v>15</v>
      </c>
      <c r="G19" s="11">
        <v>260</v>
      </c>
      <c r="H19" s="11">
        <v>9933335</v>
      </c>
      <c r="I19" s="3"/>
    </row>
    <row r="20" spans="1:9" x14ac:dyDescent="0.25">
      <c r="A20" s="3" t="s">
        <v>90</v>
      </c>
      <c r="B20" s="3" t="s">
        <v>91</v>
      </c>
      <c r="C20" s="3" t="s">
        <v>134</v>
      </c>
      <c r="D20" s="8">
        <v>37</v>
      </c>
      <c r="E20" s="17">
        <v>31</v>
      </c>
      <c r="F20" s="17">
        <v>44</v>
      </c>
      <c r="G20" s="11">
        <v>260</v>
      </c>
      <c r="H20" s="11">
        <v>9933335</v>
      </c>
      <c r="I20" s="3"/>
    </row>
    <row r="21" spans="1:9" x14ac:dyDescent="0.25">
      <c r="A21" s="3" t="s">
        <v>90</v>
      </c>
      <c r="B21" s="3" t="s">
        <v>91</v>
      </c>
      <c r="C21" s="3" t="s">
        <v>135</v>
      </c>
      <c r="D21" s="8">
        <v>37</v>
      </c>
      <c r="E21" s="17">
        <v>31</v>
      </c>
      <c r="F21" s="17">
        <v>44</v>
      </c>
      <c r="G21" s="11">
        <v>260</v>
      </c>
      <c r="H21" s="11">
        <v>9933335</v>
      </c>
      <c r="I21" s="3"/>
    </row>
    <row r="22" spans="1:9" x14ac:dyDescent="0.25">
      <c r="A22" s="3" t="s">
        <v>90</v>
      </c>
      <c r="B22" s="3" t="s">
        <v>91</v>
      </c>
      <c r="C22" s="3" t="s">
        <v>136</v>
      </c>
      <c r="D22" s="8">
        <v>10</v>
      </c>
      <c r="E22" s="17">
        <v>6</v>
      </c>
      <c r="F22" s="17">
        <v>14</v>
      </c>
      <c r="G22" s="11">
        <v>260</v>
      </c>
      <c r="H22" s="11">
        <v>9933335</v>
      </c>
      <c r="I22" s="3"/>
    </row>
    <row r="23" spans="1:9" x14ac:dyDescent="0.25">
      <c r="A23" s="3" t="s">
        <v>90</v>
      </c>
      <c r="B23" s="3" t="s">
        <v>91</v>
      </c>
      <c r="C23" s="3" t="s">
        <v>137</v>
      </c>
      <c r="D23" s="8">
        <v>4</v>
      </c>
      <c r="E23" s="17">
        <v>2</v>
      </c>
      <c r="F23" s="17">
        <v>7</v>
      </c>
      <c r="G23" s="11">
        <v>260</v>
      </c>
      <c r="H23" s="11">
        <v>9933335</v>
      </c>
      <c r="I23" s="3"/>
    </row>
    <row r="24" spans="1:9" x14ac:dyDescent="0.25">
      <c r="A24" s="3" t="s">
        <v>90</v>
      </c>
      <c r="B24" s="3" t="s">
        <v>91</v>
      </c>
      <c r="C24" s="3" t="s">
        <v>138</v>
      </c>
      <c r="D24" s="8">
        <v>49</v>
      </c>
      <c r="E24" s="17">
        <v>42</v>
      </c>
      <c r="F24" s="17">
        <v>55</v>
      </c>
      <c r="G24" s="11">
        <v>260</v>
      </c>
      <c r="H24" s="11">
        <v>9933335</v>
      </c>
      <c r="I24" s="3" t="s">
        <v>139</v>
      </c>
    </row>
    <row r="25" spans="1:9" x14ac:dyDescent="0.25">
      <c r="A25" s="3" t="s">
        <v>90</v>
      </c>
      <c r="B25" s="3" t="s">
        <v>91</v>
      </c>
      <c r="C25" s="3" t="s">
        <v>140</v>
      </c>
      <c r="D25" s="8">
        <v>14</v>
      </c>
      <c r="E25" s="17">
        <v>9</v>
      </c>
      <c r="F25" s="17">
        <v>19</v>
      </c>
      <c r="G25" s="11">
        <v>260</v>
      </c>
      <c r="H25" s="11">
        <v>9933335</v>
      </c>
      <c r="I25" s="3" t="s">
        <v>139</v>
      </c>
    </row>
    <row r="26" spans="1:9" ht="35.700000000000003" customHeight="1" x14ac:dyDescent="0.25">
      <c r="A26" s="3" t="s">
        <v>90</v>
      </c>
      <c r="B26" s="3" t="s">
        <v>92</v>
      </c>
      <c r="C26" s="3" t="s">
        <v>133</v>
      </c>
      <c r="D26" s="8">
        <v>11</v>
      </c>
      <c r="E26" s="17">
        <v>8</v>
      </c>
      <c r="F26" s="17">
        <v>13</v>
      </c>
      <c r="G26" s="11">
        <v>670</v>
      </c>
      <c r="H26" s="11">
        <v>18109142</v>
      </c>
      <c r="I26" s="3"/>
    </row>
    <row r="27" spans="1:9" x14ac:dyDescent="0.25">
      <c r="A27" s="3" t="s">
        <v>90</v>
      </c>
      <c r="B27" s="3" t="s">
        <v>92</v>
      </c>
      <c r="C27" s="3" t="s">
        <v>134</v>
      </c>
      <c r="D27" s="8">
        <v>39</v>
      </c>
      <c r="E27" s="17">
        <v>34</v>
      </c>
      <c r="F27" s="17">
        <v>43</v>
      </c>
      <c r="G27" s="11">
        <v>670</v>
      </c>
      <c r="H27" s="11">
        <v>18109142</v>
      </c>
      <c r="I27" s="3"/>
    </row>
    <row r="28" spans="1:9" x14ac:dyDescent="0.25">
      <c r="A28" s="3" t="s">
        <v>90</v>
      </c>
      <c r="B28" s="3" t="s">
        <v>92</v>
      </c>
      <c r="C28" s="3" t="s">
        <v>135</v>
      </c>
      <c r="D28" s="8">
        <v>32</v>
      </c>
      <c r="E28" s="17">
        <v>28</v>
      </c>
      <c r="F28" s="17">
        <v>37</v>
      </c>
      <c r="G28" s="11">
        <v>670</v>
      </c>
      <c r="H28" s="11">
        <v>18109142</v>
      </c>
      <c r="I28" s="3"/>
    </row>
    <row r="29" spans="1:9" x14ac:dyDescent="0.25">
      <c r="A29" s="3" t="s">
        <v>90</v>
      </c>
      <c r="B29" s="3" t="s">
        <v>92</v>
      </c>
      <c r="C29" s="3" t="s">
        <v>136</v>
      </c>
      <c r="D29" s="8">
        <v>14</v>
      </c>
      <c r="E29" s="17">
        <v>11</v>
      </c>
      <c r="F29" s="17">
        <v>17</v>
      </c>
      <c r="G29" s="11">
        <v>670</v>
      </c>
      <c r="H29" s="11">
        <v>18109142</v>
      </c>
      <c r="I29" s="3"/>
    </row>
    <row r="30" spans="1:9" x14ac:dyDescent="0.25">
      <c r="A30" s="3" t="s">
        <v>90</v>
      </c>
      <c r="B30" s="3" t="s">
        <v>92</v>
      </c>
      <c r="C30" s="3" t="s">
        <v>137</v>
      </c>
      <c r="D30" s="8">
        <v>5</v>
      </c>
      <c r="E30" s="17">
        <v>3</v>
      </c>
      <c r="F30" s="17">
        <v>7</v>
      </c>
      <c r="G30" s="11">
        <v>670</v>
      </c>
      <c r="H30" s="11">
        <v>18109142</v>
      </c>
      <c r="I30" s="3"/>
    </row>
    <row r="31" spans="1:9" x14ac:dyDescent="0.25">
      <c r="A31" s="3" t="s">
        <v>90</v>
      </c>
      <c r="B31" s="3" t="s">
        <v>92</v>
      </c>
      <c r="C31" s="3" t="s">
        <v>138</v>
      </c>
      <c r="D31" s="8">
        <v>49</v>
      </c>
      <c r="E31" s="17">
        <v>45</v>
      </c>
      <c r="F31" s="17">
        <v>54</v>
      </c>
      <c r="G31" s="11">
        <v>670</v>
      </c>
      <c r="H31" s="11">
        <v>18109142</v>
      </c>
      <c r="I31" s="3" t="s">
        <v>139</v>
      </c>
    </row>
    <row r="32" spans="1:9" x14ac:dyDescent="0.25">
      <c r="A32" s="3" t="s">
        <v>90</v>
      </c>
      <c r="B32" s="3" t="s">
        <v>92</v>
      </c>
      <c r="C32" s="3" t="s">
        <v>140</v>
      </c>
      <c r="D32" s="8">
        <v>19</v>
      </c>
      <c r="E32" s="17">
        <v>15</v>
      </c>
      <c r="F32" s="17">
        <v>22</v>
      </c>
      <c r="G32" s="11">
        <v>670</v>
      </c>
      <c r="H32" s="11">
        <v>18109142</v>
      </c>
      <c r="I32" s="3" t="s">
        <v>139</v>
      </c>
    </row>
    <row r="33" spans="1:9" ht="35.700000000000003" customHeight="1" x14ac:dyDescent="0.25">
      <c r="A33" s="3" t="s">
        <v>90</v>
      </c>
      <c r="B33" s="3" t="s">
        <v>93</v>
      </c>
      <c r="C33" s="3" t="s">
        <v>133</v>
      </c>
      <c r="D33" s="8">
        <v>14</v>
      </c>
      <c r="E33" s="17">
        <v>11</v>
      </c>
      <c r="F33" s="17">
        <v>16</v>
      </c>
      <c r="G33" s="11">
        <v>1720</v>
      </c>
      <c r="H33" s="11">
        <v>16678195</v>
      </c>
      <c r="I33" s="3"/>
    </row>
    <row r="34" spans="1:9" x14ac:dyDescent="0.25">
      <c r="A34" s="3" t="s">
        <v>90</v>
      </c>
      <c r="B34" s="3" t="s">
        <v>93</v>
      </c>
      <c r="C34" s="3" t="s">
        <v>134</v>
      </c>
      <c r="D34" s="8">
        <v>38</v>
      </c>
      <c r="E34" s="17">
        <v>35</v>
      </c>
      <c r="F34" s="17">
        <v>41</v>
      </c>
      <c r="G34" s="11">
        <v>1720</v>
      </c>
      <c r="H34" s="11">
        <v>16678195</v>
      </c>
      <c r="I34" s="3"/>
    </row>
    <row r="35" spans="1:9" x14ac:dyDescent="0.25">
      <c r="A35" s="3" t="s">
        <v>90</v>
      </c>
      <c r="B35" s="3" t="s">
        <v>93</v>
      </c>
      <c r="C35" s="3" t="s">
        <v>135</v>
      </c>
      <c r="D35" s="8">
        <v>40</v>
      </c>
      <c r="E35" s="17">
        <v>36</v>
      </c>
      <c r="F35" s="17">
        <v>43</v>
      </c>
      <c r="G35" s="11">
        <v>1720</v>
      </c>
      <c r="H35" s="11">
        <v>16678195</v>
      </c>
      <c r="I35" s="3"/>
    </row>
    <row r="36" spans="1:9" x14ac:dyDescent="0.25">
      <c r="A36" s="3" t="s">
        <v>90</v>
      </c>
      <c r="B36" s="3" t="s">
        <v>93</v>
      </c>
      <c r="C36" s="3" t="s">
        <v>136</v>
      </c>
      <c r="D36" s="8">
        <v>7</v>
      </c>
      <c r="E36" s="17">
        <v>5</v>
      </c>
      <c r="F36" s="17">
        <v>8</v>
      </c>
      <c r="G36" s="11">
        <v>1720</v>
      </c>
      <c r="H36" s="11">
        <v>16678195</v>
      </c>
      <c r="I36" s="3"/>
    </row>
    <row r="37" spans="1:9" x14ac:dyDescent="0.25">
      <c r="A37" s="3" t="s">
        <v>90</v>
      </c>
      <c r="B37" s="3" t="s">
        <v>93</v>
      </c>
      <c r="C37" s="3" t="s">
        <v>137</v>
      </c>
      <c r="D37" s="8">
        <v>2</v>
      </c>
      <c r="E37" s="17">
        <v>1</v>
      </c>
      <c r="F37" s="17">
        <v>3</v>
      </c>
      <c r="G37" s="11">
        <v>1720</v>
      </c>
      <c r="H37" s="11">
        <v>16678195</v>
      </c>
      <c r="I37" s="3"/>
    </row>
    <row r="38" spans="1:9" x14ac:dyDescent="0.25">
      <c r="A38" s="3" t="s">
        <v>90</v>
      </c>
      <c r="B38" s="3" t="s">
        <v>93</v>
      </c>
      <c r="C38" s="3" t="s">
        <v>138</v>
      </c>
      <c r="D38" s="8">
        <v>52</v>
      </c>
      <c r="E38" s="17">
        <v>48</v>
      </c>
      <c r="F38" s="17">
        <v>55</v>
      </c>
      <c r="G38" s="11">
        <v>1720</v>
      </c>
      <c r="H38" s="11">
        <v>16678195</v>
      </c>
      <c r="I38" s="3" t="s">
        <v>139</v>
      </c>
    </row>
    <row r="39" spans="1:9" x14ac:dyDescent="0.25">
      <c r="A39" s="3" t="s">
        <v>90</v>
      </c>
      <c r="B39" s="3" t="s">
        <v>93</v>
      </c>
      <c r="C39" s="3" t="s">
        <v>140</v>
      </c>
      <c r="D39" s="8">
        <v>9</v>
      </c>
      <c r="E39" s="17">
        <v>7</v>
      </c>
      <c r="F39" s="17">
        <v>11</v>
      </c>
      <c r="G39" s="11">
        <v>1720</v>
      </c>
      <c r="H39" s="11">
        <v>16678195</v>
      </c>
      <c r="I39" s="3" t="s">
        <v>139</v>
      </c>
    </row>
    <row r="40" spans="1:9" ht="35.700000000000003" customHeight="1" x14ac:dyDescent="0.25">
      <c r="A40" s="3" t="s">
        <v>90</v>
      </c>
      <c r="B40" s="3" t="s">
        <v>94</v>
      </c>
      <c r="C40" s="3" t="s">
        <v>133</v>
      </c>
      <c r="D40" s="8">
        <v>21</v>
      </c>
      <c r="E40" s="17">
        <v>18</v>
      </c>
      <c r="F40" s="17">
        <v>23</v>
      </c>
      <c r="G40" s="11">
        <v>1970</v>
      </c>
      <c r="H40" s="11">
        <v>9206516</v>
      </c>
      <c r="I40" s="3"/>
    </row>
    <row r="41" spans="1:9" x14ac:dyDescent="0.25">
      <c r="A41" s="3" t="s">
        <v>90</v>
      </c>
      <c r="B41" s="3" t="s">
        <v>94</v>
      </c>
      <c r="C41" s="3" t="s">
        <v>134</v>
      </c>
      <c r="D41" s="8">
        <v>48</v>
      </c>
      <c r="E41" s="17">
        <v>45</v>
      </c>
      <c r="F41" s="17">
        <v>51</v>
      </c>
      <c r="G41" s="11">
        <v>1970</v>
      </c>
      <c r="H41" s="11">
        <v>9206516</v>
      </c>
      <c r="I41" s="3"/>
    </row>
    <row r="42" spans="1:9" x14ac:dyDescent="0.25">
      <c r="A42" s="3" t="s">
        <v>90</v>
      </c>
      <c r="B42" s="3" t="s">
        <v>94</v>
      </c>
      <c r="C42" s="3" t="s">
        <v>135</v>
      </c>
      <c r="D42" s="8">
        <v>28</v>
      </c>
      <c r="E42" s="17">
        <v>25</v>
      </c>
      <c r="F42" s="17">
        <v>30</v>
      </c>
      <c r="G42" s="11">
        <v>1970</v>
      </c>
      <c r="H42" s="11">
        <v>9206516</v>
      </c>
      <c r="I42" s="3"/>
    </row>
    <row r="43" spans="1:9" x14ac:dyDescent="0.25">
      <c r="A43" s="3" t="s">
        <v>90</v>
      </c>
      <c r="B43" s="3" t="s">
        <v>94</v>
      </c>
      <c r="C43" s="3" t="s">
        <v>136</v>
      </c>
      <c r="D43" s="8">
        <v>3</v>
      </c>
      <c r="E43" s="17">
        <v>2</v>
      </c>
      <c r="F43" s="17">
        <v>4</v>
      </c>
      <c r="G43" s="11">
        <v>1970</v>
      </c>
      <c r="H43" s="11">
        <v>9206516</v>
      </c>
      <c r="I43" s="3"/>
    </row>
    <row r="44" spans="1:9" x14ac:dyDescent="0.25">
      <c r="A44" s="3" t="s">
        <v>90</v>
      </c>
      <c r="B44" s="3" t="s">
        <v>94</v>
      </c>
      <c r="C44" s="3" t="s">
        <v>137</v>
      </c>
      <c r="D44" s="8">
        <v>1</v>
      </c>
      <c r="E44" s="17">
        <v>1</v>
      </c>
      <c r="F44" s="17">
        <v>2</v>
      </c>
      <c r="G44" s="11">
        <v>1970</v>
      </c>
      <c r="H44" s="11">
        <v>9206516</v>
      </c>
      <c r="I44" s="3"/>
    </row>
    <row r="45" spans="1:9" x14ac:dyDescent="0.25">
      <c r="A45" s="3" t="s">
        <v>90</v>
      </c>
      <c r="B45" s="3" t="s">
        <v>94</v>
      </c>
      <c r="C45" s="3" t="s">
        <v>138</v>
      </c>
      <c r="D45" s="8">
        <v>68</v>
      </c>
      <c r="E45" s="17">
        <v>66</v>
      </c>
      <c r="F45" s="17">
        <v>71</v>
      </c>
      <c r="G45" s="11">
        <v>1970</v>
      </c>
      <c r="H45" s="11">
        <v>9206516</v>
      </c>
      <c r="I45" s="3" t="s">
        <v>139</v>
      </c>
    </row>
    <row r="46" spans="1:9" x14ac:dyDescent="0.25">
      <c r="A46" s="3" t="s">
        <v>90</v>
      </c>
      <c r="B46" s="3" t="s">
        <v>94</v>
      </c>
      <c r="C46" s="3" t="s">
        <v>140</v>
      </c>
      <c r="D46" s="8">
        <v>4</v>
      </c>
      <c r="E46" s="17">
        <v>3</v>
      </c>
      <c r="F46" s="17">
        <v>5</v>
      </c>
      <c r="G46" s="11">
        <v>1970</v>
      </c>
      <c r="H46" s="11">
        <v>9206516</v>
      </c>
      <c r="I46" s="3" t="s">
        <v>139</v>
      </c>
    </row>
    <row r="47" spans="1:9" ht="35.700000000000003" customHeight="1" x14ac:dyDescent="0.25">
      <c r="A47" s="3" t="s">
        <v>95</v>
      </c>
      <c r="B47" s="3" t="s">
        <v>96</v>
      </c>
      <c r="C47" s="3" t="s">
        <v>133</v>
      </c>
      <c r="D47" s="8">
        <v>13</v>
      </c>
      <c r="E47" s="17">
        <v>11</v>
      </c>
      <c r="F47" s="17">
        <v>16</v>
      </c>
      <c r="G47" s="11">
        <v>2290</v>
      </c>
      <c r="H47" s="11">
        <v>26169523</v>
      </c>
      <c r="I47" s="3"/>
    </row>
    <row r="48" spans="1:9" x14ac:dyDescent="0.25">
      <c r="A48" s="3" t="s">
        <v>95</v>
      </c>
      <c r="B48" s="3" t="s">
        <v>96</v>
      </c>
      <c r="C48" s="3" t="s">
        <v>134</v>
      </c>
      <c r="D48" s="8">
        <v>37</v>
      </c>
      <c r="E48" s="17">
        <v>34</v>
      </c>
      <c r="F48" s="17">
        <v>40</v>
      </c>
      <c r="G48" s="11">
        <v>2290</v>
      </c>
      <c r="H48" s="11">
        <v>26169523</v>
      </c>
      <c r="I48" s="3"/>
    </row>
    <row r="49" spans="1:9" x14ac:dyDescent="0.25">
      <c r="A49" s="3" t="s">
        <v>95</v>
      </c>
      <c r="B49" s="3" t="s">
        <v>96</v>
      </c>
      <c r="C49" s="3" t="s">
        <v>135</v>
      </c>
      <c r="D49" s="8">
        <v>34</v>
      </c>
      <c r="E49" s="17">
        <v>30</v>
      </c>
      <c r="F49" s="17">
        <v>37</v>
      </c>
      <c r="G49" s="11">
        <v>2290</v>
      </c>
      <c r="H49" s="11">
        <v>26169523</v>
      </c>
      <c r="I49" s="3"/>
    </row>
    <row r="50" spans="1:9" x14ac:dyDescent="0.25">
      <c r="A50" s="3" t="s">
        <v>95</v>
      </c>
      <c r="B50" s="3" t="s">
        <v>96</v>
      </c>
      <c r="C50" s="3" t="s">
        <v>136</v>
      </c>
      <c r="D50" s="8">
        <v>11</v>
      </c>
      <c r="E50" s="17">
        <v>9</v>
      </c>
      <c r="F50" s="17">
        <v>14</v>
      </c>
      <c r="G50" s="11">
        <v>2290</v>
      </c>
      <c r="H50" s="11">
        <v>26169523</v>
      </c>
      <c r="I50" s="3"/>
    </row>
    <row r="51" spans="1:9" x14ac:dyDescent="0.25">
      <c r="A51" s="3" t="s">
        <v>95</v>
      </c>
      <c r="B51" s="3" t="s">
        <v>96</v>
      </c>
      <c r="C51" s="3" t="s">
        <v>137</v>
      </c>
      <c r="D51" s="8">
        <v>4</v>
      </c>
      <c r="E51" s="17">
        <v>3</v>
      </c>
      <c r="F51" s="17">
        <v>6</v>
      </c>
      <c r="G51" s="11">
        <v>2290</v>
      </c>
      <c r="H51" s="11">
        <v>26169523</v>
      </c>
      <c r="I51" s="3"/>
    </row>
    <row r="52" spans="1:9" x14ac:dyDescent="0.25">
      <c r="A52" s="3" t="s">
        <v>95</v>
      </c>
      <c r="B52" s="3" t="s">
        <v>96</v>
      </c>
      <c r="C52" s="3" t="s">
        <v>138</v>
      </c>
      <c r="D52" s="8">
        <v>50</v>
      </c>
      <c r="E52" s="17">
        <v>47</v>
      </c>
      <c r="F52" s="17">
        <v>54</v>
      </c>
      <c r="G52" s="11">
        <v>2290</v>
      </c>
      <c r="H52" s="11">
        <v>26169523</v>
      </c>
      <c r="I52" s="3" t="s">
        <v>139</v>
      </c>
    </row>
    <row r="53" spans="1:9" x14ac:dyDescent="0.25">
      <c r="A53" s="3" t="s">
        <v>95</v>
      </c>
      <c r="B53" s="3" t="s">
        <v>96</v>
      </c>
      <c r="C53" s="3" t="s">
        <v>140</v>
      </c>
      <c r="D53" s="8">
        <v>16</v>
      </c>
      <c r="E53" s="17">
        <v>13</v>
      </c>
      <c r="F53" s="17">
        <v>19</v>
      </c>
      <c r="G53" s="11">
        <v>2290</v>
      </c>
      <c r="H53" s="11">
        <v>26169523</v>
      </c>
      <c r="I53" s="3" t="s">
        <v>139</v>
      </c>
    </row>
    <row r="54" spans="1:9" ht="35.700000000000003" customHeight="1" x14ac:dyDescent="0.25">
      <c r="A54" s="3" t="s">
        <v>95</v>
      </c>
      <c r="B54" s="3" t="s">
        <v>97</v>
      </c>
      <c r="C54" s="3" t="s">
        <v>133</v>
      </c>
      <c r="D54" s="8">
        <v>13</v>
      </c>
      <c r="E54" s="17">
        <v>12</v>
      </c>
      <c r="F54" s="17">
        <v>15</v>
      </c>
      <c r="G54" s="11">
        <v>2330</v>
      </c>
      <c r="H54" s="11">
        <v>27757665</v>
      </c>
      <c r="I54" s="3"/>
    </row>
    <row r="55" spans="1:9" x14ac:dyDescent="0.25">
      <c r="A55" s="3" t="s">
        <v>95</v>
      </c>
      <c r="B55" s="3" t="s">
        <v>97</v>
      </c>
      <c r="C55" s="3" t="s">
        <v>134</v>
      </c>
      <c r="D55" s="8">
        <v>42</v>
      </c>
      <c r="E55" s="17">
        <v>39</v>
      </c>
      <c r="F55" s="17">
        <v>45</v>
      </c>
      <c r="G55" s="11">
        <v>2330</v>
      </c>
      <c r="H55" s="11">
        <v>27757665</v>
      </c>
      <c r="I55" s="3"/>
    </row>
    <row r="56" spans="1:9" x14ac:dyDescent="0.25">
      <c r="A56" s="3" t="s">
        <v>95</v>
      </c>
      <c r="B56" s="3" t="s">
        <v>97</v>
      </c>
      <c r="C56" s="3" t="s">
        <v>135</v>
      </c>
      <c r="D56" s="8">
        <v>36</v>
      </c>
      <c r="E56" s="17">
        <v>33</v>
      </c>
      <c r="F56" s="17">
        <v>38</v>
      </c>
      <c r="G56" s="11">
        <v>2330</v>
      </c>
      <c r="H56" s="11">
        <v>27757665</v>
      </c>
      <c r="I56" s="3"/>
    </row>
    <row r="57" spans="1:9" x14ac:dyDescent="0.25">
      <c r="A57" s="3" t="s">
        <v>95</v>
      </c>
      <c r="B57" s="3" t="s">
        <v>97</v>
      </c>
      <c r="C57" s="3" t="s">
        <v>136</v>
      </c>
      <c r="D57" s="8">
        <v>7</v>
      </c>
      <c r="E57" s="17">
        <v>5</v>
      </c>
      <c r="F57" s="17">
        <v>8</v>
      </c>
      <c r="G57" s="11">
        <v>2330</v>
      </c>
      <c r="H57" s="11">
        <v>27757665</v>
      </c>
      <c r="I57" s="3"/>
    </row>
    <row r="58" spans="1:9" x14ac:dyDescent="0.25">
      <c r="A58" s="3" t="s">
        <v>95</v>
      </c>
      <c r="B58" s="3" t="s">
        <v>97</v>
      </c>
      <c r="C58" s="3" t="s">
        <v>137</v>
      </c>
      <c r="D58" s="8">
        <v>2</v>
      </c>
      <c r="E58" s="17">
        <v>1</v>
      </c>
      <c r="F58" s="17">
        <v>3</v>
      </c>
      <c r="G58" s="11">
        <v>2330</v>
      </c>
      <c r="H58" s="11">
        <v>27757665</v>
      </c>
      <c r="I58" s="3"/>
    </row>
    <row r="59" spans="1:9" x14ac:dyDescent="0.25">
      <c r="A59" s="3" t="s">
        <v>95</v>
      </c>
      <c r="B59" s="3" t="s">
        <v>97</v>
      </c>
      <c r="C59" s="3" t="s">
        <v>138</v>
      </c>
      <c r="D59" s="8">
        <v>56</v>
      </c>
      <c r="E59" s="17">
        <v>53</v>
      </c>
      <c r="F59" s="17">
        <v>59</v>
      </c>
      <c r="G59" s="11">
        <v>2330</v>
      </c>
      <c r="H59" s="11">
        <v>27757665</v>
      </c>
      <c r="I59" s="3" t="s">
        <v>139</v>
      </c>
    </row>
    <row r="60" spans="1:9" x14ac:dyDescent="0.25">
      <c r="A60" s="3" t="s">
        <v>95</v>
      </c>
      <c r="B60" s="3" t="s">
        <v>97</v>
      </c>
      <c r="C60" s="3" t="s">
        <v>140</v>
      </c>
      <c r="D60" s="8">
        <v>9</v>
      </c>
      <c r="E60" s="17">
        <v>7</v>
      </c>
      <c r="F60" s="17">
        <v>10</v>
      </c>
      <c r="G60" s="11">
        <v>2330</v>
      </c>
      <c r="H60" s="11">
        <v>27757665</v>
      </c>
      <c r="I60" s="3" t="s">
        <v>139</v>
      </c>
    </row>
    <row r="61" spans="1:9" ht="35.700000000000003" customHeight="1" x14ac:dyDescent="0.25">
      <c r="A61" s="3" t="s">
        <v>45</v>
      </c>
      <c r="B61" s="3" t="s">
        <v>88</v>
      </c>
      <c r="C61" s="3" t="s">
        <v>133</v>
      </c>
      <c r="D61" s="8">
        <v>15</v>
      </c>
      <c r="E61" s="17">
        <v>13</v>
      </c>
      <c r="F61" s="17">
        <v>16</v>
      </c>
      <c r="G61" s="11">
        <v>4010</v>
      </c>
      <c r="H61" s="11">
        <v>43893248</v>
      </c>
      <c r="I61" s="3"/>
    </row>
    <row r="62" spans="1:9" x14ac:dyDescent="0.25">
      <c r="A62" s="3" t="s">
        <v>45</v>
      </c>
      <c r="B62" s="3" t="s">
        <v>88</v>
      </c>
      <c r="C62" s="3" t="s">
        <v>134</v>
      </c>
      <c r="D62" s="8">
        <v>43</v>
      </c>
      <c r="E62" s="17">
        <v>40</v>
      </c>
      <c r="F62" s="17">
        <v>45</v>
      </c>
      <c r="G62" s="11">
        <v>4010</v>
      </c>
      <c r="H62" s="11">
        <v>43893248</v>
      </c>
      <c r="I62" s="3"/>
    </row>
    <row r="63" spans="1:9" x14ac:dyDescent="0.25">
      <c r="A63" s="3" t="s">
        <v>45</v>
      </c>
      <c r="B63" s="3" t="s">
        <v>88</v>
      </c>
      <c r="C63" s="3" t="s">
        <v>135</v>
      </c>
      <c r="D63" s="8">
        <v>34</v>
      </c>
      <c r="E63" s="17">
        <v>32</v>
      </c>
      <c r="F63" s="17">
        <v>36</v>
      </c>
      <c r="G63" s="11">
        <v>4010</v>
      </c>
      <c r="H63" s="11">
        <v>43893248</v>
      </c>
      <c r="I63" s="3"/>
    </row>
    <row r="64" spans="1:9" x14ac:dyDescent="0.25">
      <c r="A64" s="3" t="s">
        <v>45</v>
      </c>
      <c r="B64" s="3" t="s">
        <v>88</v>
      </c>
      <c r="C64" s="3" t="s">
        <v>136</v>
      </c>
      <c r="D64" s="8">
        <v>7</v>
      </c>
      <c r="E64" s="17">
        <v>6</v>
      </c>
      <c r="F64" s="17">
        <v>8</v>
      </c>
      <c r="G64" s="11">
        <v>4010</v>
      </c>
      <c r="H64" s="11">
        <v>43893248</v>
      </c>
      <c r="I64" s="3"/>
    </row>
    <row r="65" spans="1:9" x14ac:dyDescent="0.25">
      <c r="A65" s="3" t="s">
        <v>45</v>
      </c>
      <c r="B65" s="3" t="s">
        <v>88</v>
      </c>
      <c r="C65" s="3" t="s">
        <v>137</v>
      </c>
      <c r="D65" s="8">
        <v>2</v>
      </c>
      <c r="E65" s="17">
        <v>1</v>
      </c>
      <c r="F65" s="17">
        <v>3</v>
      </c>
      <c r="G65" s="11">
        <v>4010</v>
      </c>
      <c r="H65" s="11">
        <v>43893248</v>
      </c>
      <c r="I65" s="3"/>
    </row>
    <row r="66" spans="1:9" x14ac:dyDescent="0.25">
      <c r="A66" s="3" t="s">
        <v>45</v>
      </c>
      <c r="B66" s="3" t="s">
        <v>88</v>
      </c>
      <c r="C66" s="3" t="s">
        <v>138</v>
      </c>
      <c r="D66" s="8">
        <v>57</v>
      </c>
      <c r="E66" s="17">
        <v>55</v>
      </c>
      <c r="F66" s="17">
        <v>60</v>
      </c>
      <c r="G66" s="11">
        <v>4010</v>
      </c>
      <c r="H66" s="11">
        <v>43893248</v>
      </c>
      <c r="I66" s="3" t="s">
        <v>139</v>
      </c>
    </row>
    <row r="67" spans="1:9" x14ac:dyDescent="0.25">
      <c r="A67" s="3" t="s">
        <v>45</v>
      </c>
      <c r="B67" s="3" t="s">
        <v>88</v>
      </c>
      <c r="C67" s="3" t="s">
        <v>140</v>
      </c>
      <c r="D67" s="8">
        <v>9</v>
      </c>
      <c r="E67" s="17">
        <v>7</v>
      </c>
      <c r="F67" s="17">
        <v>10</v>
      </c>
      <c r="G67" s="11">
        <v>4010</v>
      </c>
      <c r="H67" s="11">
        <v>43893248</v>
      </c>
      <c r="I67" s="3" t="s">
        <v>139</v>
      </c>
    </row>
    <row r="68" spans="1:9" ht="35.700000000000003" customHeight="1" x14ac:dyDescent="0.25">
      <c r="A68" s="3" t="s">
        <v>45</v>
      </c>
      <c r="B68" s="3" t="s">
        <v>89</v>
      </c>
      <c r="C68" s="3" t="s">
        <v>133</v>
      </c>
      <c r="D68" s="8">
        <v>8</v>
      </c>
      <c r="E68" s="17">
        <v>5</v>
      </c>
      <c r="F68" s="17">
        <v>11</v>
      </c>
      <c r="G68" s="11">
        <v>590</v>
      </c>
      <c r="H68" s="11">
        <v>9946444</v>
      </c>
      <c r="I68" s="3"/>
    </row>
    <row r="69" spans="1:9" ht="30" x14ac:dyDescent="0.25">
      <c r="A69" s="3" t="s">
        <v>45</v>
      </c>
      <c r="B69" s="3" t="s">
        <v>89</v>
      </c>
      <c r="C69" s="3" t="s">
        <v>134</v>
      </c>
      <c r="D69" s="8">
        <v>27</v>
      </c>
      <c r="E69" s="17">
        <v>22</v>
      </c>
      <c r="F69" s="17">
        <v>32</v>
      </c>
      <c r="G69" s="11">
        <v>590</v>
      </c>
      <c r="H69" s="11">
        <v>9946444</v>
      </c>
      <c r="I69" s="3"/>
    </row>
    <row r="70" spans="1:9" ht="30" x14ac:dyDescent="0.25">
      <c r="A70" s="3" t="s">
        <v>45</v>
      </c>
      <c r="B70" s="3" t="s">
        <v>89</v>
      </c>
      <c r="C70" s="3" t="s">
        <v>135</v>
      </c>
      <c r="D70" s="8">
        <v>38</v>
      </c>
      <c r="E70" s="17">
        <v>32</v>
      </c>
      <c r="F70" s="17">
        <v>43</v>
      </c>
      <c r="G70" s="11">
        <v>590</v>
      </c>
      <c r="H70" s="11">
        <v>9946444</v>
      </c>
      <c r="I70" s="3"/>
    </row>
    <row r="71" spans="1:9" ht="30" x14ac:dyDescent="0.25">
      <c r="A71" s="3" t="s">
        <v>45</v>
      </c>
      <c r="B71" s="3" t="s">
        <v>89</v>
      </c>
      <c r="C71" s="3" t="s">
        <v>136</v>
      </c>
      <c r="D71" s="8">
        <v>18</v>
      </c>
      <c r="E71" s="17">
        <v>13</v>
      </c>
      <c r="F71" s="17">
        <v>23</v>
      </c>
      <c r="G71" s="11">
        <v>590</v>
      </c>
      <c r="H71" s="11">
        <v>9946444</v>
      </c>
      <c r="I71" s="3"/>
    </row>
    <row r="72" spans="1:9" ht="30" x14ac:dyDescent="0.25">
      <c r="A72" s="3" t="s">
        <v>45</v>
      </c>
      <c r="B72" s="3" t="s">
        <v>89</v>
      </c>
      <c r="C72" s="3" t="s">
        <v>137</v>
      </c>
      <c r="D72" s="8">
        <v>9</v>
      </c>
      <c r="E72" s="17">
        <v>6</v>
      </c>
      <c r="F72" s="17">
        <v>12</v>
      </c>
      <c r="G72" s="11">
        <v>590</v>
      </c>
      <c r="H72" s="11">
        <v>9946444</v>
      </c>
      <c r="I72" s="3"/>
    </row>
    <row r="73" spans="1:9" ht="30" x14ac:dyDescent="0.25">
      <c r="A73" s="3" t="s">
        <v>45</v>
      </c>
      <c r="B73" s="3" t="s">
        <v>89</v>
      </c>
      <c r="C73" s="3" t="s">
        <v>138</v>
      </c>
      <c r="D73" s="8">
        <v>35</v>
      </c>
      <c r="E73" s="17">
        <v>30</v>
      </c>
      <c r="F73" s="17">
        <v>40</v>
      </c>
      <c r="G73" s="11">
        <v>590</v>
      </c>
      <c r="H73" s="11">
        <v>9946444</v>
      </c>
      <c r="I73" s="3" t="s">
        <v>139</v>
      </c>
    </row>
    <row r="74" spans="1:9" ht="30" x14ac:dyDescent="0.25">
      <c r="A74" s="3" t="s">
        <v>45</v>
      </c>
      <c r="B74" s="3" t="s">
        <v>89</v>
      </c>
      <c r="C74" s="3" t="s">
        <v>140</v>
      </c>
      <c r="D74" s="8">
        <v>27</v>
      </c>
      <c r="E74" s="17">
        <v>22</v>
      </c>
      <c r="F74" s="17">
        <v>33</v>
      </c>
      <c r="G74" s="11">
        <v>590</v>
      </c>
      <c r="H74" s="11">
        <v>9946444</v>
      </c>
      <c r="I74" s="3" t="s">
        <v>139</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4"/>
  <sheetViews>
    <sheetView workbookViewId="0">
      <selection activeCell="D59" sqref="D59"/>
    </sheetView>
  </sheetViews>
  <sheetFormatPr defaultColWidth="10.90625" defaultRowHeight="15" x14ac:dyDescent="0.25"/>
  <cols>
    <col min="1" max="1" width="17.81640625" customWidth="1"/>
    <col min="2" max="2" width="23.6328125" customWidth="1"/>
    <col min="3" max="3" width="34.81640625" customWidth="1"/>
    <col min="4" max="9" width="16.81640625" customWidth="1"/>
  </cols>
  <sheetData>
    <row r="1" spans="1:9" ht="21" x14ac:dyDescent="0.4">
      <c r="A1" s="5" t="s">
        <v>141</v>
      </c>
    </row>
    <row r="2" spans="1:9" ht="16.8" x14ac:dyDescent="0.3">
      <c r="A2" s="21" t="s">
        <v>76</v>
      </c>
    </row>
    <row r="3" spans="1:9" x14ac:dyDescent="0.25">
      <c r="A3" t="s">
        <v>37</v>
      </c>
    </row>
    <row r="4" spans="1:9" x14ac:dyDescent="0.25">
      <c r="A4" t="s">
        <v>77</v>
      </c>
    </row>
    <row r="5" spans="1:9" x14ac:dyDescent="0.25">
      <c r="A5" t="s">
        <v>131</v>
      </c>
    </row>
    <row r="6" spans="1:9" x14ac:dyDescent="0.25">
      <c r="A6" s="25" t="str">
        <f>HYPERLINK("#'Cover'!A29", "If shorthand is present please refer to the Suppression and shorthand section in the Cover_sheet tab")</f>
        <v>If shorthand is present please refer to the Suppression and shorthand section in the Cover_sheet tab</v>
      </c>
    </row>
    <row r="7" spans="1:9" x14ac:dyDescent="0.25">
      <c r="A7" s="19" t="str">
        <f>HYPERLINK("#'Contents'!A1", "Return to table of contents")</f>
        <v>Return to table of contents</v>
      </c>
    </row>
    <row r="8" spans="1:9" x14ac:dyDescent="0.25">
      <c r="A8" t="s">
        <v>78</v>
      </c>
    </row>
    <row r="9" spans="1:9" ht="15.6" x14ac:dyDescent="0.3">
      <c r="A9" s="20" t="s">
        <v>142</v>
      </c>
    </row>
    <row r="10" spans="1:9" ht="15.6" x14ac:dyDescent="0.3">
      <c r="A10" s="20" t="s">
        <v>1</v>
      </c>
    </row>
    <row r="11" spans="1:9" ht="31.2" x14ac:dyDescent="0.3">
      <c r="A11" s="9" t="s">
        <v>80</v>
      </c>
      <c r="B11" s="9" t="s">
        <v>81</v>
      </c>
      <c r="C11" s="9" t="s">
        <v>82</v>
      </c>
      <c r="D11" s="10" t="s">
        <v>83</v>
      </c>
      <c r="E11" s="10" t="s">
        <v>84</v>
      </c>
      <c r="F11" s="10" t="s">
        <v>85</v>
      </c>
      <c r="G11" s="10" t="s">
        <v>20</v>
      </c>
      <c r="H11" s="10" t="s">
        <v>17</v>
      </c>
      <c r="I11" s="9" t="s">
        <v>43</v>
      </c>
    </row>
    <row r="12" spans="1:9" x14ac:dyDescent="0.25">
      <c r="A12" s="3" t="s">
        <v>86</v>
      </c>
      <c r="B12" s="3" t="s">
        <v>87</v>
      </c>
      <c r="C12" s="3" t="s">
        <v>133</v>
      </c>
      <c r="D12" s="8">
        <v>47</v>
      </c>
      <c r="E12" s="17">
        <v>45</v>
      </c>
      <c r="F12" s="17">
        <v>50</v>
      </c>
      <c r="G12" s="11">
        <v>4610</v>
      </c>
      <c r="H12" s="11">
        <v>53918324</v>
      </c>
      <c r="I12" s="3"/>
    </row>
    <row r="13" spans="1:9" x14ac:dyDescent="0.25">
      <c r="A13" s="3" t="s">
        <v>86</v>
      </c>
      <c r="B13" s="3" t="s">
        <v>87</v>
      </c>
      <c r="C13" s="3" t="s">
        <v>134</v>
      </c>
      <c r="D13" s="8">
        <v>39</v>
      </c>
      <c r="E13" s="17">
        <v>37</v>
      </c>
      <c r="F13" s="17">
        <v>41</v>
      </c>
      <c r="G13" s="11">
        <v>4610</v>
      </c>
      <c r="H13" s="11">
        <v>53918324</v>
      </c>
      <c r="I13" s="3"/>
    </row>
    <row r="14" spans="1:9" x14ac:dyDescent="0.25">
      <c r="A14" s="3" t="s">
        <v>86</v>
      </c>
      <c r="B14" s="3" t="s">
        <v>87</v>
      </c>
      <c r="C14" s="3" t="s">
        <v>135</v>
      </c>
      <c r="D14" s="8">
        <v>9</v>
      </c>
      <c r="E14" s="17">
        <v>8</v>
      </c>
      <c r="F14" s="17">
        <v>10</v>
      </c>
      <c r="G14" s="11">
        <v>4610</v>
      </c>
      <c r="H14" s="11">
        <v>53918324</v>
      </c>
      <c r="I14" s="3"/>
    </row>
    <row r="15" spans="1:9" x14ac:dyDescent="0.25">
      <c r="A15" s="3" t="s">
        <v>86</v>
      </c>
      <c r="B15" s="3" t="s">
        <v>87</v>
      </c>
      <c r="C15" s="3" t="s">
        <v>136</v>
      </c>
      <c r="D15" s="8">
        <v>4</v>
      </c>
      <c r="E15" s="17">
        <v>3</v>
      </c>
      <c r="F15" s="17">
        <v>5</v>
      </c>
      <c r="G15" s="11">
        <v>4610</v>
      </c>
      <c r="H15" s="11">
        <v>53918324</v>
      </c>
      <c r="I15" s="3"/>
    </row>
    <row r="16" spans="1:9" x14ac:dyDescent="0.25">
      <c r="A16" s="3" t="s">
        <v>86</v>
      </c>
      <c r="B16" s="3" t="s">
        <v>87</v>
      </c>
      <c r="C16" s="3" t="s">
        <v>137</v>
      </c>
      <c r="D16" s="8">
        <v>1</v>
      </c>
      <c r="E16" s="17">
        <v>1</v>
      </c>
      <c r="F16" s="17">
        <v>1</v>
      </c>
      <c r="G16" s="11">
        <v>4610</v>
      </c>
      <c r="H16" s="11">
        <v>53918324</v>
      </c>
      <c r="I16" s="3"/>
    </row>
    <row r="17" spans="1:9" x14ac:dyDescent="0.25">
      <c r="A17" s="3" t="s">
        <v>86</v>
      </c>
      <c r="B17" s="3" t="s">
        <v>87</v>
      </c>
      <c r="C17" s="3" t="s">
        <v>143</v>
      </c>
      <c r="D17" s="8">
        <v>86</v>
      </c>
      <c r="E17" s="17">
        <v>85</v>
      </c>
      <c r="F17" s="17">
        <v>88</v>
      </c>
      <c r="G17" s="11">
        <v>4610</v>
      </c>
      <c r="H17" s="11">
        <v>53918324</v>
      </c>
      <c r="I17" s="3" t="s">
        <v>139</v>
      </c>
    </row>
    <row r="18" spans="1:9" x14ac:dyDescent="0.25">
      <c r="A18" s="3" t="s">
        <v>86</v>
      </c>
      <c r="B18" s="3" t="s">
        <v>87</v>
      </c>
      <c r="C18" s="3" t="s">
        <v>140</v>
      </c>
      <c r="D18" s="8">
        <v>5</v>
      </c>
      <c r="E18" s="17">
        <v>4</v>
      </c>
      <c r="F18" s="17">
        <v>6</v>
      </c>
      <c r="G18" s="11">
        <v>4610</v>
      </c>
      <c r="H18" s="11">
        <v>53918324</v>
      </c>
      <c r="I18" s="3" t="s">
        <v>139</v>
      </c>
    </row>
    <row r="19" spans="1:9" ht="35.700000000000003" customHeight="1" x14ac:dyDescent="0.25">
      <c r="A19" s="3" t="s">
        <v>90</v>
      </c>
      <c r="B19" s="3" t="s">
        <v>91</v>
      </c>
      <c r="C19" s="3" t="s">
        <v>133</v>
      </c>
      <c r="D19" s="8">
        <v>50</v>
      </c>
      <c r="E19" s="17">
        <v>43</v>
      </c>
      <c r="F19" s="17">
        <v>57</v>
      </c>
      <c r="G19" s="11">
        <v>260</v>
      </c>
      <c r="H19" s="11">
        <v>9933335</v>
      </c>
      <c r="I19" s="3"/>
    </row>
    <row r="20" spans="1:9" x14ac:dyDescent="0.25">
      <c r="A20" s="3" t="s">
        <v>90</v>
      </c>
      <c r="B20" s="3" t="s">
        <v>91</v>
      </c>
      <c r="C20" s="3" t="s">
        <v>134</v>
      </c>
      <c r="D20" s="8">
        <v>36</v>
      </c>
      <c r="E20" s="17">
        <v>30</v>
      </c>
      <c r="F20" s="17">
        <v>43</v>
      </c>
      <c r="G20" s="11">
        <v>260</v>
      </c>
      <c r="H20" s="11">
        <v>9933335</v>
      </c>
      <c r="I20" s="3"/>
    </row>
    <row r="21" spans="1:9" x14ac:dyDescent="0.25">
      <c r="A21" s="3" t="s">
        <v>90</v>
      </c>
      <c r="B21" s="3" t="s">
        <v>91</v>
      </c>
      <c r="C21" s="3" t="s">
        <v>135</v>
      </c>
      <c r="D21" s="8">
        <v>10</v>
      </c>
      <c r="E21" s="17">
        <v>6</v>
      </c>
      <c r="F21" s="17">
        <v>14</v>
      </c>
      <c r="G21" s="11">
        <v>260</v>
      </c>
      <c r="H21" s="11">
        <v>9933335</v>
      </c>
      <c r="I21" s="3"/>
    </row>
    <row r="22" spans="1:9" x14ac:dyDescent="0.25">
      <c r="A22" s="3" t="s">
        <v>90</v>
      </c>
      <c r="B22" s="3" t="s">
        <v>91</v>
      </c>
      <c r="C22" s="3" t="s">
        <v>136</v>
      </c>
      <c r="D22" s="8">
        <v>3</v>
      </c>
      <c r="E22" s="17">
        <v>1</v>
      </c>
      <c r="F22" s="17">
        <v>5</v>
      </c>
      <c r="G22" s="11">
        <v>260</v>
      </c>
      <c r="H22" s="11">
        <v>9933335</v>
      </c>
      <c r="I22" s="3"/>
    </row>
    <row r="23" spans="1:9" x14ac:dyDescent="0.25">
      <c r="A23" s="3" t="s">
        <v>90</v>
      </c>
      <c r="B23" s="3" t="s">
        <v>91</v>
      </c>
      <c r="C23" s="3" t="s">
        <v>137</v>
      </c>
      <c r="D23" s="13" t="s">
        <v>144</v>
      </c>
      <c r="E23" s="17" t="s">
        <v>144</v>
      </c>
      <c r="F23" s="17" t="s">
        <v>144</v>
      </c>
      <c r="G23" s="11">
        <v>260</v>
      </c>
      <c r="H23" s="11">
        <v>9933335</v>
      </c>
      <c r="I23" s="3"/>
    </row>
    <row r="24" spans="1:9" x14ac:dyDescent="0.25">
      <c r="A24" s="3" t="s">
        <v>90</v>
      </c>
      <c r="B24" s="3" t="s">
        <v>91</v>
      </c>
      <c r="C24" s="3" t="s">
        <v>143</v>
      </c>
      <c r="D24" s="8">
        <v>86</v>
      </c>
      <c r="E24" s="17">
        <v>82</v>
      </c>
      <c r="F24" s="17">
        <v>91</v>
      </c>
      <c r="G24" s="11">
        <v>260</v>
      </c>
      <c r="H24" s="11">
        <v>9933335</v>
      </c>
      <c r="I24" s="3" t="s">
        <v>139</v>
      </c>
    </row>
    <row r="25" spans="1:9" x14ac:dyDescent="0.25">
      <c r="A25" s="3" t="s">
        <v>90</v>
      </c>
      <c r="B25" s="3" t="s">
        <v>91</v>
      </c>
      <c r="C25" s="3" t="s">
        <v>140</v>
      </c>
      <c r="D25" s="8">
        <v>4</v>
      </c>
      <c r="E25" s="17">
        <v>1</v>
      </c>
      <c r="F25" s="17">
        <v>6</v>
      </c>
      <c r="G25" s="11">
        <v>260</v>
      </c>
      <c r="H25" s="11">
        <v>9933335</v>
      </c>
      <c r="I25" s="3" t="s">
        <v>139</v>
      </c>
    </row>
    <row r="26" spans="1:9" ht="35.700000000000003" customHeight="1" x14ac:dyDescent="0.25">
      <c r="A26" s="3" t="s">
        <v>90</v>
      </c>
      <c r="B26" s="3" t="s">
        <v>92</v>
      </c>
      <c r="C26" s="3" t="s">
        <v>133</v>
      </c>
      <c r="D26" s="8">
        <v>44</v>
      </c>
      <c r="E26" s="17">
        <v>40</v>
      </c>
      <c r="F26" s="17">
        <v>49</v>
      </c>
      <c r="G26" s="11">
        <v>670</v>
      </c>
      <c r="H26" s="11">
        <v>18109142</v>
      </c>
      <c r="I26" s="3"/>
    </row>
    <row r="27" spans="1:9" x14ac:dyDescent="0.25">
      <c r="A27" s="3" t="s">
        <v>90</v>
      </c>
      <c r="B27" s="3" t="s">
        <v>92</v>
      </c>
      <c r="C27" s="3" t="s">
        <v>134</v>
      </c>
      <c r="D27" s="8">
        <v>40</v>
      </c>
      <c r="E27" s="17">
        <v>36</v>
      </c>
      <c r="F27" s="17">
        <v>45</v>
      </c>
      <c r="G27" s="11">
        <v>670</v>
      </c>
      <c r="H27" s="11">
        <v>18109142</v>
      </c>
      <c r="I27" s="3"/>
    </row>
    <row r="28" spans="1:9" x14ac:dyDescent="0.25">
      <c r="A28" s="3" t="s">
        <v>90</v>
      </c>
      <c r="B28" s="3" t="s">
        <v>92</v>
      </c>
      <c r="C28" s="3" t="s">
        <v>135</v>
      </c>
      <c r="D28" s="8">
        <v>9</v>
      </c>
      <c r="E28" s="17">
        <v>6</v>
      </c>
      <c r="F28" s="17">
        <v>11</v>
      </c>
      <c r="G28" s="11">
        <v>670</v>
      </c>
      <c r="H28" s="11">
        <v>18109142</v>
      </c>
      <c r="I28" s="3"/>
    </row>
    <row r="29" spans="1:9" x14ac:dyDescent="0.25">
      <c r="A29" s="3" t="s">
        <v>90</v>
      </c>
      <c r="B29" s="3" t="s">
        <v>92</v>
      </c>
      <c r="C29" s="3" t="s">
        <v>136</v>
      </c>
      <c r="D29" s="8">
        <v>6</v>
      </c>
      <c r="E29" s="17">
        <v>4</v>
      </c>
      <c r="F29" s="17">
        <v>8</v>
      </c>
      <c r="G29" s="11">
        <v>670</v>
      </c>
      <c r="H29" s="11">
        <v>18109142</v>
      </c>
      <c r="I29" s="3"/>
    </row>
    <row r="30" spans="1:9" x14ac:dyDescent="0.25">
      <c r="A30" s="3" t="s">
        <v>90</v>
      </c>
      <c r="B30" s="3" t="s">
        <v>92</v>
      </c>
      <c r="C30" s="3" t="s">
        <v>137</v>
      </c>
      <c r="D30" s="8">
        <v>1</v>
      </c>
      <c r="E30" s="17">
        <v>0</v>
      </c>
      <c r="F30" s="17">
        <v>2</v>
      </c>
      <c r="G30" s="11">
        <v>670</v>
      </c>
      <c r="H30" s="11">
        <v>18109142</v>
      </c>
      <c r="I30" s="3"/>
    </row>
    <row r="31" spans="1:9" x14ac:dyDescent="0.25">
      <c r="A31" s="3" t="s">
        <v>90</v>
      </c>
      <c r="B31" s="3" t="s">
        <v>92</v>
      </c>
      <c r="C31" s="3" t="s">
        <v>143</v>
      </c>
      <c r="D31" s="8">
        <v>84</v>
      </c>
      <c r="E31" s="17">
        <v>81</v>
      </c>
      <c r="F31" s="17">
        <v>88</v>
      </c>
      <c r="G31" s="11">
        <v>670</v>
      </c>
      <c r="H31" s="11">
        <v>18109142</v>
      </c>
      <c r="I31" s="3" t="s">
        <v>139</v>
      </c>
    </row>
    <row r="32" spans="1:9" x14ac:dyDescent="0.25">
      <c r="A32" s="3" t="s">
        <v>90</v>
      </c>
      <c r="B32" s="3" t="s">
        <v>92</v>
      </c>
      <c r="C32" s="3" t="s">
        <v>140</v>
      </c>
      <c r="D32" s="8">
        <v>7</v>
      </c>
      <c r="E32" s="17">
        <v>4</v>
      </c>
      <c r="F32" s="17">
        <v>9</v>
      </c>
      <c r="G32" s="11">
        <v>670</v>
      </c>
      <c r="H32" s="11">
        <v>18109142</v>
      </c>
      <c r="I32" s="3" t="s">
        <v>139</v>
      </c>
    </row>
    <row r="33" spans="1:9" ht="35.700000000000003" customHeight="1" x14ac:dyDescent="0.25">
      <c r="A33" s="3" t="s">
        <v>90</v>
      </c>
      <c r="B33" s="3" t="s">
        <v>93</v>
      </c>
      <c r="C33" s="3" t="s">
        <v>133</v>
      </c>
      <c r="D33" s="8">
        <v>44</v>
      </c>
      <c r="E33" s="17">
        <v>40</v>
      </c>
      <c r="F33" s="17">
        <v>47</v>
      </c>
      <c r="G33" s="11">
        <v>1710</v>
      </c>
      <c r="H33" s="11">
        <v>16671595</v>
      </c>
      <c r="I33" s="3"/>
    </row>
    <row r="34" spans="1:9" x14ac:dyDescent="0.25">
      <c r="A34" s="3" t="s">
        <v>90</v>
      </c>
      <c r="B34" s="3" t="s">
        <v>93</v>
      </c>
      <c r="C34" s="3" t="s">
        <v>134</v>
      </c>
      <c r="D34" s="8">
        <v>42</v>
      </c>
      <c r="E34" s="17">
        <v>38</v>
      </c>
      <c r="F34" s="17">
        <v>45</v>
      </c>
      <c r="G34" s="11">
        <v>1710</v>
      </c>
      <c r="H34" s="11">
        <v>16671595</v>
      </c>
      <c r="I34" s="3"/>
    </row>
    <row r="35" spans="1:9" x14ac:dyDescent="0.25">
      <c r="A35" s="3" t="s">
        <v>90</v>
      </c>
      <c r="B35" s="3" t="s">
        <v>93</v>
      </c>
      <c r="C35" s="3" t="s">
        <v>135</v>
      </c>
      <c r="D35" s="8">
        <v>10</v>
      </c>
      <c r="E35" s="17">
        <v>8</v>
      </c>
      <c r="F35" s="17">
        <v>12</v>
      </c>
      <c r="G35" s="11">
        <v>1710</v>
      </c>
      <c r="H35" s="11">
        <v>16671595</v>
      </c>
      <c r="I35" s="3"/>
    </row>
    <row r="36" spans="1:9" x14ac:dyDescent="0.25">
      <c r="A36" s="3" t="s">
        <v>90</v>
      </c>
      <c r="B36" s="3" t="s">
        <v>93</v>
      </c>
      <c r="C36" s="3" t="s">
        <v>136</v>
      </c>
      <c r="D36" s="8">
        <v>3</v>
      </c>
      <c r="E36" s="17">
        <v>2</v>
      </c>
      <c r="F36" s="17">
        <v>4</v>
      </c>
      <c r="G36" s="11">
        <v>1710</v>
      </c>
      <c r="H36" s="11">
        <v>16671595</v>
      </c>
      <c r="I36" s="3"/>
    </row>
    <row r="37" spans="1:9" x14ac:dyDescent="0.25">
      <c r="A37" s="3" t="s">
        <v>90</v>
      </c>
      <c r="B37" s="3" t="s">
        <v>93</v>
      </c>
      <c r="C37" s="3" t="s">
        <v>137</v>
      </c>
      <c r="D37" s="8">
        <v>2</v>
      </c>
      <c r="E37" s="17">
        <v>1</v>
      </c>
      <c r="F37" s="17">
        <v>2</v>
      </c>
      <c r="G37" s="11">
        <v>1710</v>
      </c>
      <c r="H37" s="11">
        <v>16671595</v>
      </c>
      <c r="I37" s="3"/>
    </row>
    <row r="38" spans="1:9" x14ac:dyDescent="0.25">
      <c r="A38" s="3" t="s">
        <v>90</v>
      </c>
      <c r="B38" s="3" t="s">
        <v>93</v>
      </c>
      <c r="C38" s="3" t="s">
        <v>143</v>
      </c>
      <c r="D38" s="8">
        <v>85</v>
      </c>
      <c r="E38" s="17">
        <v>83</v>
      </c>
      <c r="F38" s="17">
        <v>88</v>
      </c>
      <c r="G38" s="11">
        <v>1710</v>
      </c>
      <c r="H38" s="11">
        <v>16671595</v>
      </c>
      <c r="I38" s="3" t="s">
        <v>139</v>
      </c>
    </row>
    <row r="39" spans="1:9" x14ac:dyDescent="0.25">
      <c r="A39" s="3" t="s">
        <v>90</v>
      </c>
      <c r="B39" s="3" t="s">
        <v>93</v>
      </c>
      <c r="C39" s="3" t="s">
        <v>140</v>
      </c>
      <c r="D39" s="8">
        <v>5</v>
      </c>
      <c r="E39" s="17">
        <v>3</v>
      </c>
      <c r="F39" s="17">
        <v>6</v>
      </c>
      <c r="G39" s="11">
        <v>1710</v>
      </c>
      <c r="H39" s="11">
        <v>16671595</v>
      </c>
      <c r="I39" s="3" t="s">
        <v>139</v>
      </c>
    </row>
    <row r="40" spans="1:9" ht="35.700000000000003" customHeight="1" x14ac:dyDescent="0.25">
      <c r="A40" s="3" t="s">
        <v>90</v>
      </c>
      <c r="B40" s="3" t="s">
        <v>94</v>
      </c>
      <c r="C40" s="3" t="s">
        <v>133</v>
      </c>
      <c r="D40" s="8">
        <v>58</v>
      </c>
      <c r="E40" s="17">
        <v>55</v>
      </c>
      <c r="F40" s="17">
        <v>61</v>
      </c>
      <c r="G40" s="11">
        <v>1970</v>
      </c>
      <c r="H40" s="11">
        <v>9204253</v>
      </c>
      <c r="I40" s="3"/>
    </row>
    <row r="41" spans="1:9" x14ac:dyDescent="0.25">
      <c r="A41" s="3" t="s">
        <v>90</v>
      </c>
      <c r="B41" s="3" t="s">
        <v>94</v>
      </c>
      <c r="C41" s="3" t="s">
        <v>134</v>
      </c>
      <c r="D41" s="8">
        <v>34</v>
      </c>
      <c r="E41" s="17">
        <v>31</v>
      </c>
      <c r="F41" s="17">
        <v>36</v>
      </c>
      <c r="G41" s="11">
        <v>1970</v>
      </c>
      <c r="H41" s="11">
        <v>9204253</v>
      </c>
      <c r="I41" s="3"/>
    </row>
    <row r="42" spans="1:9" x14ac:dyDescent="0.25">
      <c r="A42" s="3" t="s">
        <v>90</v>
      </c>
      <c r="B42" s="3" t="s">
        <v>94</v>
      </c>
      <c r="C42" s="3" t="s">
        <v>135</v>
      </c>
      <c r="D42" s="8">
        <v>7</v>
      </c>
      <c r="E42" s="17">
        <v>5</v>
      </c>
      <c r="F42" s="17">
        <v>8</v>
      </c>
      <c r="G42" s="11">
        <v>1970</v>
      </c>
      <c r="H42" s="11">
        <v>9204253</v>
      </c>
      <c r="I42" s="3"/>
    </row>
    <row r="43" spans="1:9" x14ac:dyDescent="0.25">
      <c r="A43" s="3" t="s">
        <v>90</v>
      </c>
      <c r="B43" s="3" t="s">
        <v>94</v>
      </c>
      <c r="C43" s="3" t="s">
        <v>136</v>
      </c>
      <c r="D43" s="8">
        <v>2</v>
      </c>
      <c r="E43" s="17">
        <v>1</v>
      </c>
      <c r="F43" s="17">
        <v>2</v>
      </c>
      <c r="G43" s="11">
        <v>1970</v>
      </c>
      <c r="H43" s="11">
        <v>9204253</v>
      </c>
      <c r="I43" s="3"/>
    </row>
    <row r="44" spans="1:9" x14ac:dyDescent="0.25">
      <c r="A44" s="3" t="s">
        <v>90</v>
      </c>
      <c r="B44" s="3" t="s">
        <v>94</v>
      </c>
      <c r="C44" s="3" t="s">
        <v>137</v>
      </c>
      <c r="D44" s="13" t="s">
        <v>145</v>
      </c>
      <c r="E44" s="17">
        <v>0</v>
      </c>
      <c r="F44" s="17">
        <v>1</v>
      </c>
      <c r="G44" s="11">
        <v>1970</v>
      </c>
      <c r="H44" s="11">
        <v>9204253</v>
      </c>
      <c r="I44" s="3"/>
    </row>
    <row r="45" spans="1:9" x14ac:dyDescent="0.25">
      <c r="A45" s="3" t="s">
        <v>90</v>
      </c>
      <c r="B45" s="3" t="s">
        <v>94</v>
      </c>
      <c r="C45" s="3" t="s">
        <v>143</v>
      </c>
      <c r="D45" s="8">
        <v>92</v>
      </c>
      <c r="E45" s="17">
        <v>90</v>
      </c>
      <c r="F45" s="17">
        <v>93</v>
      </c>
      <c r="G45" s="11">
        <v>1970</v>
      </c>
      <c r="H45" s="11">
        <v>9204253</v>
      </c>
      <c r="I45" s="3" t="s">
        <v>139</v>
      </c>
    </row>
    <row r="46" spans="1:9" x14ac:dyDescent="0.25">
      <c r="A46" s="3" t="s">
        <v>90</v>
      </c>
      <c r="B46" s="3" t="s">
        <v>94</v>
      </c>
      <c r="C46" s="3" t="s">
        <v>140</v>
      </c>
      <c r="D46" s="8">
        <v>2</v>
      </c>
      <c r="E46" s="17">
        <v>1</v>
      </c>
      <c r="F46" s="17">
        <v>3</v>
      </c>
      <c r="G46" s="11">
        <v>1970</v>
      </c>
      <c r="H46" s="11">
        <v>9204253</v>
      </c>
      <c r="I46" s="3" t="s">
        <v>139</v>
      </c>
    </row>
    <row r="47" spans="1:9" ht="35.700000000000003" customHeight="1" x14ac:dyDescent="0.25">
      <c r="A47" s="3" t="s">
        <v>95</v>
      </c>
      <c r="B47" s="3" t="s">
        <v>96</v>
      </c>
      <c r="C47" s="3" t="s">
        <v>133</v>
      </c>
      <c r="D47" s="8">
        <v>44</v>
      </c>
      <c r="E47" s="17">
        <v>41</v>
      </c>
      <c r="F47" s="17">
        <v>47</v>
      </c>
      <c r="G47" s="11">
        <v>2290</v>
      </c>
      <c r="H47" s="11">
        <v>26162241</v>
      </c>
      <c r="I47" s="3"/>
    </row>
    <row r="48" spans="1:9" x14ac:dyDescent="0.25">
      <c r="A48" s="3" t="s">
        <v>95</v>
      </c>
      <c r="B48" s="3" t="s">
        <v>96</v>
      </c>
      <c r="C48" s="3" t="s">
        <v>134</v>
      </c>
      <c r="D48" s="8">
        <v>41</v>
      </c>
      <c r="E48" s="17">
        <v>38</v>
      </c>
      <c r="F48" s="17">
        <v>45</v>
      </c>
      <c r="G48" s="11">
        <v>2290</v>
      </c>
      <c r="H48" s="11">
        <v>26162241</v>
      </c>
      <c r="I48" s="3"/>
    </row>
    <row r="49" spans="1:9" x14ac:dyDescent="0.25">
      <c r="A49" s="3" t="s">
        <v>95</v>
      </c>
      <c r="B49" s="3" t="s">
        <v>96</v>
      </c>
      <c r="C49" s="3" t="s">
        <v>135</v>
      </c>
      <c r="D49" s="8">
        <v>10</v>
      </c>
      <c r="E49" s="17">
        <v>8</v>
      </c>
      <c r="F49" s="17">
        <v>12</v>
      </c>
      <c r="G49" s="11">
        <v>2290</v>
      </c>
      <c r="H49" s="11">
        <v>26162241</v>
      </c>
      <c r="I49" s="3"/>
    </row>
    <row r="50" spans="1:9" x14ac:dyDescent="0.25">
      <c r="A50" s="3" t="s">
        <v>95</v>
      </c>
      <c r="B50" s="3" t="s">
        <v>96</v>
      </c>
      <c r="C50" s="3" t="s">
        <v>136</v>
      </c>
      <c r="D50" s="8">
        <v>4</v>
      </c>
      <c r="E50" s="17">
        <v>3</v>
      </c>
      <c r="F50" s="17">
        <v>5</v>
      </c>
      <c r="G50" s="11">
        <v>2290</v>
      </c>
      <c r="H50" s="11">
        <v>26162241</v>
      </c>
      <c r="I50" s="3"/>
    </row>
    <row r="51" spans="1:9" x14ac:dyDescent="0.25">
      <c r="A51" s="3" t="s">
        <v>95</v>
      </c>
      <c r="B51" s="3" t="s">
        <v>96</v>
      </c>
      <c r="C51" s="3" t="s">
        <v>137</v>
      </c>
      <c r="D51" s="8">
        <v>1</v>
      </c>
      <c r="E51" s="17">
        <v>0</v>
      </c>
      <c r="F51" s="17">
        <v>1</v>
      </c>
      <c r="G51" s="11">
        <v>2290</v>
      </c>
      <c r="H51" s="11">
        <v>26162241</v>
      </c>
      <c r="I51" s="3"/>
    </row>
    <row r="52" spans="1:9" x14ac:dyDescent="0.25">
      <c r="A52" s="3" t="s">
        <v>95</v>
      </c>
      <c r="B52" s="3" t="s">
        <v>96</v>
      </c>
      <c r="C52" s="3" t="s">
        <v>143</v>
      </c>
      <c r="D52" s="8">
        <v>85</v>
      </c>
      <c r="E52" s="17">
        <v>83</v>
      </c>
      <c r="F52" s="17">
        <v>88</v>
      </c>
      <c r="G52" s="11">
        <v>2290</v>
      </c>
      <c r="H52" s="11">
        <v>26162241</v>
      </c>
      <c r="I52" s="3" t="s">
        <v>139</v>
      </c>
    </row>
    <row r="53" spans="1:9" x14ac:dyDescent="0.25">
      <c r="A53" s="3" t="s">
        <v>95</v>
      </c>
      <c r="B53" s="3" t="s">
        <v>96</v>
      </c>
      <c r="C53" s="3" t="s">
        <v>140</v>
      </c>
      <c r="D53" s="8">
        <v>5</v>
      </c>
      <c r="E53" s="17">
        <v>3</v>
      </c>
      <c r="F53" s="17">
        <v>6</v>
      </c>
      <c r="G53" s="11">
        <v>2290</v>
      </c>
      <c r="H53" s="11">
        <v>26162241</v>
      </c>
      <c r="I53" s="3" t="s">
        <v>139</v>
      </c>
    </row>
    <row r="54" spans="1:9" ht="35.700000000000003" customHeight="1" x14ac:dyDescent="0.25">
      <c r="A54" s="3" t="s">
        <v>95</v>
      </c>
      <c r="B54" s="3" t="s">
        <v>97</v>
      </c>
      <c r="C54" s="3" t="s">
        <v>133</v>
      </c>
      <c r="D54" s="8">
        <v>51</v>
      </c>
      <c r="E54" s="17">
        <v>48</v>
      </c>
      <c r="F54" s="17">
        <v>54</v>
      </c>
      <c r="G54" s="11">
        <v>2330</v>
      </c>
      <c r="H54" s="11">
        <v>27756083</v>
      </c>
      <c r="I54" s="3"/>
    </row>
    <row r="55" spans="1:9" x14ac:dyDescent="0.25">
      <c r="A55" s="3" t="s">
        <v>95</v>
      </c>
      <c r="B55" s="3" t="s">
        <v>97</v>
      </c>
      <c r="C55" s="3" t="s">
        <v>134</v>
      </c>
      <c r="D55" s="8">
        <v>36</v>
      </c>
      <c r="E55" s="17">
        <v>33</v>
      </c>
      <c r="F55" s="17">
        <v>39</v>
      </c>
      <c r="G55" s="11">
        <v>2330</v>
      </c>
      <c r="H55" s="11">
        <v>27756083</v>
      </c>
      <c r="I55" s="3"/>
    </row>
    <row r="56" spans="1:9" x14ac:dyDescent="0.25">
      <c r="A56" s="3" t="s">
        <v>95</v>
      </c>
      <c r="B56" s="3" t="s">
        <v>97</v>
      </c>
      <c r="C56" s="3" t="s">
        <v>135</v>
      </c>
      <c r="D56" s="8">
        <v>8</v>
      </c>
      <c r="E56" s="17">
        <v>6</v>
      </c>
      <c r="F56" s="17">
        <v>10</v>
      </c>
      <c r="G56" s="11">
        <v>2330</v>
      </c>
      <c r="H56" s="11">
        <v>27756083</v>
      </c>
      <c r="I56" s="3"/>
    </row>
    <row r="57" spans="1:9" x14ac:dyDescent="0.25">
      <c r="A57" s="3" t="s">
        <v>95</v>
      </c>
      <c r="B57" s="3" t="s">
        <v>97</v>
      </c>
      <c r="C57" s="3" t="s">
        <v>136</v>
      </c>
      <c r="D57" s="8">
        <v>4</v>
      </c>
      <c r="E57" s="17">
        <v>2</v>
      </c>
      <c r="F57" s="17">
        <v>5</v>
      </c>
      <c r="G57" s="11">
        <v>2330</v>
      </c>
      <c r="H57" s="11">
        <v>27756083</v>
      </c>
      <c r="I57" s="3"/>
    </row>
    <row r="58" spans="1:9" x14ac:dyDescent="0.25">
      <c r="A58" s="3" t="s">
        <v>95</v>
      </c>
      <c r="B58" s="3" t="s">
        <v>97</v>
      </c>
      <c r="C58" s="3" t="s">
        <v>137</v>
      </c>
      <c r="D58" s="8">
        <v>1</v>
      </c>
      <c r="E58" s="17">
        <v>1</v>
      </c>
      <c r="F58" s="17">
        <v>2</v>
      </c>
      <c r="G58" s="11">
        <v>2330</v>
      </c>
      <c r="H58" s="11">
        <v>27756083</v>
      </c>
      <c r="I58" s="3"/>
    </row>
    <row r="59" spans="1:9" x14ac:dyDescent="0.25">
      <c r="A59" s="3" t="s">
        <v>95</v>
      </c>
      <c r="B59" s="3" t="s">
        <v>97</v>
      </c>
      <c r="C59" s="3" t="s">
        <v>143</v>
      </c>
      <c r="D59" s="8">
        <v>87</v>
      </c>
      <c r="E59" s="17">
        <v>85</v>
      </c>
      <c r="F59" s="17">
        <v>89</v>
      </c>
      <c r="G59" s="11">
        <v>2330</v>
      </c>
      <c r="H59" s="11">
        <v>27756083</v>
      </c>
      <c r="I59" s="3" t="s">
        <v>139</v>
      </c>
    </row>
    <row r="60" spans="1:9" x14ac:dyDescent="0.25">
      <c r="A60" s="3" t="s">
        <v>95</v>
      </c>
      <c r="B60" s="3" t="s">
        <v>97</v>
      </c>
      <c r="C60" s="3" t="s">
        <v>140</v>
      </c>
      <c r="D60" s="8">
        <v>5</v>
      </c>
      <c r="E60" s="17">
        <v>4</v>
      </c>
      <c r="F60" s="17">
        <v>6</v>
      </c>
      <c r="G60" s="11">
        <v>2330</v>
      </c>
      <c r="H60" s="11">
        <v>27756083</v>
      </c>
      <c r="I60" s="3" t="s">
        <v>139</v>
      </c>
    </row>
    <row r="61" spans="1:9" ht="35.700000000000003" customHeight="1" x14ac:dyDescent="0.25">
      <c r="A61" s="3" t="s">
        <v>45</v>
      </c>
      <c r="B61" s="3" t="s">
        <v>88</v>
      </c>
      <c r="C61" s="3" t="s">
        <v>133</v>
      </c>
      <c r="D61" s="8">
        <v>52</v>
      </c>
      <c r="E61" s="17">
        <v>50</v>
      </c>
      <c r="F61" s="17">
        <v>55</v>
      </c>
      <c r="G61" s="11">
        <v>4010</v>
      </c>
      <c r="H61" s="11">
        <v>43884384</v>
      </c>
      <c r="I61" s="3"/>
    </row>
    <row r="62" spans="1:9" x14ac:dyDescent="0.25">
      <c r="A62" s="3" t="s">
        <v>45</v>
      </c>
      <c r="B62" s="3" t="s">
        <v>88</v>
      </c>
      <c r="C62" s="3" t="s">
        <v>134</v>
      </c>
      <c r="D62" s="8">
        <v>38</v>
      </c>
      <c r="E62" s="17">
        <v>35</v>
      </c>
      <c r="F62" s="17">
        <v>40</v>
      </c>
      <c r="G62" s="11">
        <v>4010</v>
      </c>
      <c r="H62" s="11">
        <v>43884384</v>
      </c>
      <c r="I62" s="3"/>
    </row>
    <row r="63" spans="1:9" x14ac:dyDescent="0.25">
      <c r="A63" s="3" t="s">
        <v>45</v>
      </c>
      <c r="B63" s="3" t="s">
        <v>88</v>
      </c>
      <c r="C63" s="3" t="s">
        <v>135</v>
      </c>
      <c r="D63" s="8">
        <v>7</v>
      </c>
      <c r="E63" s="17">
        <v>6</v>
      </c>
      <c r="F63" s="17">
        <v>9</v>
      </c>
      <c r="G63" s="11">
        <v>4010</v>
      </c>
      <c r="H63" s="11">
        <v>43884384</v>
      </c>
      <c r="I63" s="3"/>
    </row>
    <row r="64" spans="1:9" x14ac:dyDescent="0.25">
      <c r="A64" s="3" t="s">
        <v>45</v>
      </c>
      <c r="B64" s="3" t="s">
        <v>88</v>
      </c>
      <c r="C64" s="3" t="s">
        <v>136</v>
      </c>
      <c r="D64" s="8">
        <v>2</v>
      </c>
      <c r="E64" s="17">
        <v>1</v>
      </c>
      <c r="F64" s="17">
        <v>3</v>
      </c>
      <c r="G64" s="11">
        <v>4010</v>
      </c>
      <c r="H64" s="11">
        <v>43884384</v>
      </c>
      <c r="I64" s="3"/>
    </row>
    <row r="65" spans="1:9" x14ac:dyDescent="0.25">
      <c r="A65" s="3" t="s">
        <v>45</v>
      </c>
      <c r="B65" s="3" t="s">
        <v>88</v>
      </c>
      <c r="C65" s="3" t="s">
        <v>137</v>
      </c>
      <c r="D65" s="8">
        <v>1</v>
      </c>
      <c r="E65" s="17">
        <v>0</v>
      </c>
      <c r="F65" s="17">
        <v>1</v>
      </c>
      <c r="G65" s="11">
        <v>4010</v>
      </c>
      <c r="H65" s="11">
        <v>43884384</v>
      </c>
      <c r="I65" s="3"/>
    </row>
    <row r="66" spans="1:9" x14ac:dyDescent="0.25">
      <c r="A66" s="3" t="s">
        <v>45</v>
      </c>
      <c r="B66" s="3" t="s">
        <v>88</v>
      </c>
      <c r="C66" s="3" t="s">
        <v>143</v>
      </c>
      <c r="D66" s="8">
        <v>90</v>
      </c>
      <c r="E66" s="17">
        <v>88</v>
      </c>
      <c r="F66" s="17">
        <v>91</v>
      </c>
      <c r="G66" s="11">
        <v>4010</v>
      </c>
      <c r="H66" s="11">
        <v>43884384</v>
      </c>
      <c r="I66" s="3" t="s">
        <v>139</v>
      </c>
    </row>
    <row r="67" spans="1:9" x14ac:dyDescent="0.25">
      <c r="A67" s="3" t="s">
        <v>45</v>
      </c>
      <c r="B67" s="3" t="s">
        <v>88</v>
      </c>
      <c r="C67" s="3" t="s">
        <v>140</v>
      </c>
      <c r="D67" s="8">
        <v>3</v>
      </c>
      <c r="E67" s="17">
        <v>2</v>
      </c>
      <c r="F67" s="17">
        <v>4</v>
      </c>
      <c r="G67" s="11">
        <v>4010</v>
      </c>
      <c r="H67" s="11">
        <v>43884384</v>
      </c>
      <c r="I67" s="3" t="s">
        <v>139</v>
      </c>
    </row>
    <row r="68" spans="1:9" ht="35.700000000000003" customHeight="1" x14ac:dyDescent="0.25">
      <c r="A68" s="3" t="s">
        <v>45</v>
      </c>
      <c r="B68" s="3" t="s">
        <v>89</v>
      </c>
      <c r="C68" s="3" t="s">
        <v>133</v>
      </c>
      <c r="D68" s="8">
        <v>27</v>
      </c>
      <c r="E68" s="17">
        <v>22</v>
      </c>
      <c r="F68" s="17">
        <v>32</v>
      </c>
      <c r="G68" s="11">
        <v>590</v>
      </c>
      <c r="H68" s="11">
        <v>9946444</v>
      </c>
      <c r="I68" s="3"/>
    </row>
    <row r="69" spans="1:9" ht="30" x14ac:dyDescent="0.25">
      <c r="A69" s="3" t="s">
        <v>45</v>
      </c>
      <c r="B69" s="3" t="s">
        <v>89</v>
      </c>
      <c r="C69" s="3" t="s">
        <v>134</v>
      </c>
      <c r="D69" s="8">
        <v>43</v>
      </c>
      <c r="E69" s="17">
        <v>38</v>
      </c>
      <c r="F69" s="17">
        <v>49</v>
      </c>
      <c r="G69" s="11">
        <v>590</v>
      </c>
      <c r="H69" s="11">
        <v>9946444</v>
      </c>
      <c r="I69" s="3"/>
    </row>
    <row r="70" spans="1:9" ht="30" x14ac:dyDescent="0.25">
      <c r="A70" s="3" t="s">
        <v>45</v>
      </c>
      <c r="B70" s="3" t="s">
        <v>89</v>
      </c>
      <c r="C70" s="3" t="s">
        <v>135</v>
      </c>
      <c r="D70" s="8">
        <v>17</v>
      </c>
      <c r="E70" s="17">
        <v>12</v>
      </c>
      <c r="F70" s="17">
        <v>21</v>
      </c>
      <c r="G70" s="11">
        <v>590</v>
      </c>
      <c r="H70" s="11">
        <v>9946444</v>
      </c>
      <c r="I70" s="3"/>
    </row>
    <row r="71" spans="1:9" ht="30" x14ac:dyDescent="0.25">
      <c r="A71" s="3" t="s">
        <v>45</v>
      </c>
      <c r="B71" s="3" t="s">
        <v>89</v>
      </c>
      <c r="C71" s="3" t="s">
        <v>136</v>
      </c>
      <c r="D71" s="8">
        <v>10</v>
      </c>
      <c r="E71" s="17">
        <v>7</v>
      </c>
      <c r="F71" s="17">
        <v>14</v>
      </c>
      <c r="G71" s="11">
        <v>590</v>
      </c>
      <c r="H71" s="11">
        <v>9946444</v>
      </c>
      <c r="I71" s="3"/>
    </row>
    <row r="72" spans="1:9" ht="30" x14ac:dyDescent="0.25">
      <c r="A72" s="3" t="s">
        <v>45</v>
      </c>
      <c r="B72" s="3" t="s">
        <v>89</v>
      </c>
      <c r="C72" s="3" t="s">
        <v>137</v>
      </c>
      <c r="D72" s="8">
        <v>3</v>
      </c>
      <c r="E72" s="17">
        <v>1</v>
      </c>
      <c r="F72" s="17">
        <v>4</v>
      </c>
      <c r="G72" s="11">
        <v>590</v>
      </c>
      <c r="H72" s="11">
        <v>9946444</v>
      </c>
      <c r="I72" s="3"/>
    </row>
    <row r="73" spans="1:9" ht="30" x14ac:dyDescent="0.25">
      <c r="A73" s="3" t="s">
        <v>45</v>
      </c>
      <c r="B73" s="3" t="s">
        <v>89</v>
      </c>
      <c r="C73" s="3" t="s">
        <v>143</v>
      </c>
      <c r="D73" s="8">
        <v>70</v>
      </c>
      <c r="E73" s="17">
        <v>65</v>
      </c>
      <c r="F73" s="17">
        <v>76</v>
      </c>
      <c r="G73" s="11">
        <v>590</v>
      </c>
      <c r="H73" s="11">
        <v>9946444</v>
      </c>
      <c r="I73" s="3" t="s">
        <v>139</v>
      </c>
    </row>
    <row r="74" spans="1:9" ht="30" x14ac:dyDescent="0.25">
      <c r="A74" s="3" t="s">
        <v>45</v>
      </c>
      <c r="B74" s="3" t="s">
        <v>89</v>
      </c>
      <c r="C74" s="3" t="s">
        <v>140</v>
      </c>
      <c r="D74" s="8">
        <v>13</v>
      </c>
      <c r="E74" s="17">
        <v>9</v>
      </c>
      <c r="F74" s="17">
        <v>17</v>
      </c>
      <c r="G74" s="11">
        <v>590</v>
      </c>
      <c r="H74" s="11">
        <v>9946444</v>
      </c>
      <c r="I74" s="3" t="s">
        <v>139</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8"/>
  <sheetViews>
    <sheetView workbookViewId="0"/>
  </sheetViews>
  <sheetFormatPr defaultColWidth="10.90625" defaultRowHeight="15" x14ac:dyDescent="0.25"/>
  <cols>
    <col min="1" max="1" width="17.81640625" customWidth="1"/>
    <col min="2" max="2" width="23.6328125" customWidth="1"/>
    <col min="3" max="3" width="46.6328125" customWidth="1"/>
    <col min="4" max="8" width="16.81640625" customWidth="1"/>
  </cols>
  <sheetData>
    <row r="1" spans="1:8" ht="21" x14ac:dyDescent="0.4">
      <c r="A1" s="5" t="s">
        <v>146</v>
      </c>
    </row>
    <row r="2" spans="1:8" ht="16.8" x14ac:dyDescent="0.3">
      <c r="A2" s="21" t="s">
        <v>76</v>
      </c>
    </row>
    <row r="3" spans="1:8" x14ac:dyDescent="0.25">
      <c r="A3" t="s">
        <v>37</v>
      </c>
    </row>
    <row r="4" spans="1:8" x14ac:dyDescent="0.25">
      <c r="A4" t="s">
        <v>77</v>
      </c>
    </row>
    <row r="5" spans="1:8" x14ac:dyDescent="0.25">
      <c r="A5" s="25" t="str">
        <f>HYPERLINK("#'Cover'!A29", "If shorthand is present please refer to the Suppression and shorthand section in the Cover_sheet tab")</f>
        <v>If shorthand is present please refer to the Suppression and shorthand section in the Cover_sheet tab</v>
      </c>
    </row>
    <row r="6" spans="1:8" x14ac:dyDescent="0.25">
      <c r="A6" s="19" t="str">
        <f>HYPERLINK("#'Contents'!A1", "Return to table of contents")</f>
        <v>Return to table of contents</v>
      </c>
    </row>
    <row r="7" spans="1:8" x14ac:dyDescent="0.25">
      <c r="A7" t="s">
        <v>78</v>
      </c>
    </row>
    <row r="8" spans="1:8" ht="15.6" x14ac:dyDescent="0.3">
      <c r="A8" s="20" t="s">
        <v>147</v>
      </c>
    </row>
    <row r="9" spans="1:8" ht="15.6" x14ac:dyDescent="0.3">
      <c r="A9" s="20" t="s">
        <v>1</v>
      </c>
    </row>
    <row r="10" spans="1:8" ht="31.2" x14ac:dyDescent="0.3">
      <c r="A10" s="9" t="s">
        <v>80</v>
      </c>
      <c r="B10" s="9" t="s">
        <v>81</v>
      </c>
      <c r="C10" s="9" t="s">
        <v>82</v>
      </c>
      <c r="D10" s="10" t="s">
        <v>83</v>
      </c>
      <c r="E10" s="10" t="s">
        <v>84</v>
      </c>
      <c r="F10" s="10" t="s">
        <v>85</v>
      </c>
      <c r="G10" s="10" t="s">
        <v>20</v>
      </c>
      <c r="H10" s="10" t="s">
        <v>17</v>
      </c>
    </row>
    <row r="11" spans="1:8" x14ac:dyDescent="0.25">
      <c r="A11" s="3" t="s">
        <v>86</v>
      </c>
      <c r="B11" s="3" t="s">
        <v>87</v>
      </c>
      <c r="C11" s="3" t="s">
        <v>148</v>
      </c>
      <c r="D11" s="8">
        <v>43</v>
      </c>
      <c r="E11" s="17">
        <v>41</v>
      </c>
      <c r="F11" s="17">
        <v>45</v>
      </c>
      <c r="G11" s="11">
        <v>4610</v>
      </c>
      <c r="H11" s="11">
        <v>53825279</v>
      </c>
    </row>
    <row r="12" spans="1:8" x14ac:dyDescent="0.25">
      <c r="A12" s="3" t="s">
        <v>86</v>
      </c>
      <c r="B12" s="3" t="s">
        <v>87</v>
      </c>
      <c r="C12" s="3" t="s">
        <v>149</v>
      </c>
      <c r="D12" s="8">
        <v>59</v>
      </c>
      <c r="E12" s="17">
        <v>57</v>
      </c>
      <c r="F12" s="17">
        <v>61</v>
      </c>
      <c r="G12" s="11">
        <v>4610</v>
      </c>
      <c r="H12" s="11">
        <v>53825279</v>
      </c>
    </row>
    <row r="13" spans="1:8" x14ac:dyDescent="0.25">
      <c r="A13" s="3" t="s">
        <v>86</v>
      </c>
      <c r="B13" s="3" t="s">
        <v>87</v>
      </c>
      <c r="C13" s="3" t="s">
        <v>150</v>
      </c>
      <c r="D13" s="8">
        <v>36</v>
      </c>
      <c r="E13" s="17">
        <v>34</v>
      </c>
      <c r="F13" s="17">
        <v>38</v>
      </c>
      <c r="G13" s="11">
        <v>4610</v>
      </c>
      <c r="H13" s="11">
        <v>53825279</v>
      </c>
    </row>
    <row r="14" spans="1:8" x14ac:dyDescent="0.25">
      <c r="A14" s="3" t="s">
        <v>86</v>
      </c>
      <c r="B14" s="3" t="s">
        <v>87</v>
      </c>
      <c r="C14" s="3" t="s">
        <v>151</v>
      </c>
      <c r="D14" s="8">
        <v>74</v>
      </c>
      <c r="E14" s="17">
        <v>72</v>
      </c>
      <c r="F14" s="17">
        <v>76</v>
      </c>
      <c r="G14" s="11">
        <v>4610</v>
      </c>
      <c r="H14" s="11">
        <v>53825279</v>
      </c>
    </row>
    <row r="15" spans="1:8" x14ac:dyDescent="0.25">
      <c r="A15" s="3" t="s">
        <v>86</v>
      </c>
      <c r="B15" s="3" t="s">
        <v>87</v>
      </c>
      <c r="C15" s="3" t="s">
        <v>152</v>
      </c>
      <c r="D15" s="8">
        <v>50</v>
      </c>
      <c r="E15" s="17">
        <v>48</v>
      </c>
      <c r="F15" s="17">
        <v>53</v>
      </c>
      <c r="G15" s="11">
        <v>4610</v>
      </c>
      <c r="H15" s="11">
        <v>53825279</v>
      </c>
    </row>
    <row r="16" spans="1:8" x14ac:dyDescent="0.25">
      <c r="A16" s="3" t="s">
        <v>86</v>
      </c>
      <c r="B16" s="3" t="s">
        <v>87</v>
      </c>
      <c r="C16" s="3" t="s">
        <v>153</v>
      </c>
      <c r="D16" s="8">
        <v>35</v>
      </c>
      <c r="E16" s="17">
        <v>33</v>
      </c>
      <c r="F16" s="17">
        <v>38</v>
      </c>
      <c r="G16" s="11">
        <v>4610</v>
      </c>
      <c r="H16" s="11">
        <v>53825279</v>
      </c>
    </row>
    <row r="17" spans="1:8" x14ac:dyDescent="0.25">
      <c r="A17" s="3" t="s">
        <v>86</v>
      </c>
      <c r="B17" s="3" t="s">
        <v>87</v>
      </c>
      <c r="C17" s="3" t="s">
        <v>154</v>
      </c>
      <c r="D17" s="8">
        <v>50</v>
      </c>
      <c r="E17" s="17">
        <v>47</v>
      </c>
      <c r="F17" s="17">
        <v>52</v>
      </c>
      <c r="G17" s="11">
        <v>4610</v>
      </c>
      <c r="H17" s="11">
        <v>53825279</v>
      </c>
    </row>
    <row r="18" spans="1:8" x14ac:dyDescent="0.25">
      <c r="A18" s="3" t="s">
        <v>86</v>
      </c>
      <c r="B18" s="3" t="s">
        <v>87</v>
      </c>
      <c r="C18" s="3" t="s">
        <v>155</v>
      </c>
      <c r="D18" s="8">
        <v>50</v>
      </c>
      <c r="E18" s="17">
        <v>48</v>
      </c>
      <c r="F18" s="17">
        <v>52</v>
      </c>
      <c r="G18" s="11">
        <v>4610</v>
      </c>
      <c r="H18" s="11">
        <v>53825279</v>
      </c>
    </row>
    <row r="19" spans="1:8" x14ac:dyDescent="0.25">
      <c r="A19" s="3" t="s">
        <v>86</v>
      </c>
      <c r="B19" s="3" t="s">
        <v>87</v>
      </c>
      <c r="C19" s="3" t="s">
        <v>156</v>
      </c>
      <c r="D19" s="8">
        <v>48</v>
      </c>
      <c r="E19" s="17">
        <v>46</v>
      </c>
      <c r="F19" s="17">
        <v>50</v>
      </c>
      <c r="G19" s="11">
        <v>4610</v>
      </c>
      <c r="H19" s="11">
        <v>53825279</v>
      </c>
    </row>
    <row r="20" spans="1:8" x14ac:dyDescent="0.25">
      <c r="A20" s="3" t="s">
        <v>86</v>
      </c>
      <c r="B20" s="3" t="s">
        <v>87</v>
      </c>
      <c r="C20" s="3" t="s">
        <v>157</v>
      </c>
      <c r="D20" s="8">
        <v>37</v>
      </c>
      <c r="E20" s="17">
        <v>35</v>
      </c>
      <c r="F20" s="17">
        <v>39</v>
      </c>
      <c r="G20" s="11">
        <v>4610</v>
      </c>
      <c r="H20" s="11">
        <v>53825279</v>
      </c>
    </row>
    <row r="21" spans="1:8" x14ac:dyDescent="0.25">
      <c r="A21" s="3" t="s">
        <v>86</v>
      </c>
      <c r="B21" s="3" t="s">
        <v>87</v>
      </c>
      <c r="C21" s="3" t="s">
        <v>109</v>
      </c>
      <c r="D21" s="8">
        <v>1</v>
      </c>
      <c r="E21" s="17">
        <v>1</v>
      </c>
      <c r="F21" s="17">
        <v>2</v>
      </c>
      <c r="G21" s="11">
        <v>4610</v>
      </c>
      <c r="H21" s="11">
        <v>53825279</v>
      </c>
    </row>
    <row r="22" spans="1:8" x14ac:dyDescent="0.25">
      <c r="A22" s="3" t="s">
        <v>86</v>
      </c>
      <c r="B22" s="3" t="s">
        <v>87</v>
      </c>
      <c r="C22" s="3" t="s">
        <v>158</v>
      </c>
      <c r="D22" s="8">
        <v>5</v>
      </c>
      <c r="E22" s="17">
        <v>4</v>
      </c>
      <c r="F22" s="17">
        <v>6</v>
      </c>
      <c r="G22" s="11">
        <v>4610</v>
      </c>
      <c r="H22" s="11">
        <v>53825279</v>
      </c>
    </row>
    <row r="23" spans="1:8" ht="35.700000000000003" customHeight="1" x14ac:dyDescent="0.25">
      <c r="A23" s="3" t="s">
        <v>90</v>
      </c>
      <c r="B23" s="3" t="s">
        <v>91</v>
      </c>
      <c r="C23" s="3" t="s">
        <v>148</v>
      </c>
      <c r="D23" s="8">
        <v>45</v>
      </c>
      <c r="E23" s="17">
        <v>38</v>
      </c>
      <c r="F23" s="17">
        <v>52</v>
      </c>
      <c r="G23" s="11">
        <v>260</v>
      </c>
      <c r="H23" s="11">
        <v>9933335</v>
      </c>
    </row>
    <row r="24" spans="1:8" x14ac:dyDescent="0.25">
      <c r="A24" s="3" t="s">
        <v>90</v>
      </c>
      <c r="B24" s="3" t="s">
        <v>91</v>
      </c>
      <c r="C24" s="3" t="s">
        <v>149</v>
      </c>
      <c r="D24" s="8">
        <v>63</v>
      </c>
      <c r="E24" s="17">
        <v>56</v>
      </c>
      <c r="F24" s="17">
        <v>69</v>
      </c>
      <c r="G24" s="11">
        <v>260</v>
      </c>
      <c r="H24" s="11">
        <v>9933335</v>
      </c>
    </row>
    <row r="25" spans="1:8" x14ac:dyDescent="0.25">
      <c r="A25" s="3" t="s">
        <v>90</v>
      </c>
      <c r="B25" s="3" t="s">
        <v>91</v>
      </c>
      <c r="C25" s="3" t="s">
        <v>150</v>
      </c>
      <c r="D25" s="8">
        <v>40</v>
      </c>
      <c r="E25" s="17">
        <v>33</v>
      </c>
      <c r="F25" s="17">
        <v>46</v>
      </c>
      <c r="G25" s="11">
        <v>260</v>
      </c>
      <c r="H25" s="11">
        <v>9933335</v>
      </c>
    </row>
    <row r="26" spans="1:8" x14ac:dyDescent="0.25">
      <c r="A26" s="3" t="s">
        <v>90</v>
      </c>
      <c r="B26" s="3" t="s">
        <v>91</v>
      </c>
      <c r="C26" s="3" t="s">
        <v>151</v>
      </c>
      <c r="D26" s="8">
        <v>76</v>
      </c>
      <c r="E26" s="17">
        <v>70</v>
      </c>
      <c r="F26" s="17">
        <v>82</v>
      </c>
      <c r="G26" s="11">
        <v>260</v>
      </c>
      <c r="H26" s="11">
        <v>9933335</v>
      </c>
    </row>
    <row r="27" spans="1:8" x14ac:dyDescent="0.25">
      <c r="A27" s="3" t="s">
        <v>90</v>
      </c>
      <c r="B27" s="3" t="s">
        <v>91</v>
      </c>
      <c r="C27" s="3" t="s">
        <v>152</v>
      </c>
      <c r="D27" s="8">
        <v>52</v>
      </c>
      <c r="E27" s="17">
        <v>45</v>
      </c>
      <c r="F27" s="17">
        <v>59</v>
      </c>
      <c r="G27" s="11">
        <v>260</v>
      </c>
      <c r="H27" s="11">
        <v>9933335</v>
      </c>
    </row>
    <row r="28" spans="1:8" x14ac:dyDescent="0.25">
      <c r="A28" s="3" t="s">
        <v>90</v>
      </c>
      <c r="B28" s="3" t="s">
        <v>91</v>
      </c>
      <c r="C28" s="3" t="s">
        <v>153</v>
      </c>
      <c r="D28" s="8">
        <v>46</v>
      </c>
      <c r="E28" s="17">
        <v>39</v>
      </c>
      <c r="F28" s="17">
        <v>53</v>
      </c>
      <c r="G28" s="11">
        <v>260</v>
      </c>
      <c r="H28" s="11">
        <v>9933335</v>
      </c>
    </row>
    <row r="29" spans="1:8" x14ac:dyDescent="0.25">
      <c r="A29" s="3" t="s">
        <v>90</v>
      </c>
      <c r="B29" s="3" t="s">
        <v>91</v>
      </c>
      <c r="C29" s="3" t="s">
        <v>154</v>
      </c>
      <c r="D29" s="8">
        <v>48</v>
      </c>
      <c r="E29" s="17">
        <v>41</v>
      </c>
      <c r="F29" s="17">
        <v>54</v>
      </c>
      <c r="G29" s="11">
        <v>260</v>
      </c>
      <c r="H29" s="11">
        <v>9933335</v>
      </c>
    </row>
    <row r="30" spans="1:8" x14ac:dyDescent="0.25">
      <c r="A30" s="3" t="s">
        <v>90</v>
      </c>
      <c r="B30" s="3" t="s">
        <v>91</v>
      </c>
      <c r="C30" s="3" t="s">
        <v>155</v>
      </c>
      <c r="D30" s="8">
        <v>48</v>
      </c>
      <c r="E30" s="17">
        <v>41</v>
      </c>
      <c r="F30" s="17">
        <v>55</v>
      </c>
      <c r="G30" s="11">
        <v>260</v>
      </c>
      <c r="H30" s="11">
        <v>9933335</v>
      </c>
    </row>
    <row r="31" spans="1:8" x14ac:dyDescent="0.25">
      <c r="A31" s="3" t="s">
        <v>90</v>
      </c>
      <c r="B31" s="3" t="s">
        <v>91</v>
      </c>
      <c r="C31" s="3" t="s">
        <v>156</v>
      </c>
      <c r="D31" s="8">
        <v>57</v>
      </c>
      <c r="E31" s="17">
        <v>51</v>
      </c>
      <c r="F31" s="17">
        <v>64</v>
      </c>
      <c r="G31" s="11">
        <v>260</v>
      </c>
      <c r="H31" s="11">
        <v>9933335</v>
      </c>
    </row>
    <row r="32" spans="1:8" x14ac:dyDescent="0.25">
      <c r="A32" s="3" t="s">
        <v>90</v>
      </c>
      <c r="B32" s="3" t="s">
        <v>91</v>
      </c>
      <c r="C32" s="3" t="s">
        <v>157</v>
      </c>
      <c r="D32" s="8">
        <v>34</v>
      </c>
      <c r="E32" s="17">
        <v>27</v>
      </c>
      <c r="F32" s="17">
        <v>40</v>
      </c>
      <c r="G32" s="11">
        <v>260</v>
      </c>
      <c r="H32" s="11">
        <v>9933335</v>
      </c>
    </row>
    <row r="33" spans="1:8" x14ac:dyDescent="0.25">
      <c r="A33" s="3" t="s">
        <v>90</v>
      </c>
      <c r="B33" s="3" t="s">
        <v>91</v>
      </c>
      <c r="C33" s="3" t="s">
        <v>109</v>
      </c>
      <c r="D33" s="8">
        <v>2</v>
      </c>
      <c r="E33" s="17">
        <v>0</v>
      </c>
      <c r="F33" s="17">
        <v>4</v>
      </c>
      <c r="G33" s="11">
        <v>260</v>
      </c>
      <c r="H33" s="11">
        <v>9933335</v>
      </c>
    </row>
    <row r="34" spans="1:8" x14ac:dyDescent="0.25">
      <c r="A34" s="3" t="s">
        <v>90</v>
      </c>
      <c r="B34" s="3" t="s">
        <v>91</v>
      </c>
      <c r="C34" s="3" t="s">
        <v>158</v>
      </c>
      <c r="D34" s="8">
        <v>4</v>
      </c>
      <c r="E34" s="17">
        <v>1</v>
      </c>
      <c r="F34" s="17">
        <v>6</v>
      </c>
      <c r="G34" s="11">
        <v>260</v>
      </c>
      <c r="H34" s="11">
        <v>9933335</v>
      </c>
    </row>
    <row r="35" spans="1:8" ht="35.700000000000003" customHeight="1" x14ac:dyDescent="0.25">
      <c r="A35" s="3" t="s">
        <v>90</v>
      </c>
      <c r="B35" s="3" t="s">
        <v>92</v>
      </c>
      <c r="C35" s="3" t="s">
        <v>148</v>
      </c>
      <c r="D35" s="8">
        <v>46</v>
      </c>
      <c r="E35" s="17">
        <v>41</v>
      </c>
      <c r="F35" s="17">
        <v>50</v>
      </c>
      <c r="G35" s="11">
        <v>660</v>
      </c>
      <c r="H35" s="11">
        <v>18019359</v>
      </c>
    </row>
    <row r="36" spans="1:8" x14ac:dyDescent="0.25">
      <c r="A36" s="3" t="s">
        <v>90</v>
      </c>
      <c r="B36" s="3" t="s">
        <v>92</v>
      </c>
      <c r="C36" s="3" t="s">
        <v>149</v>
      </c>
      <c r="D36" s="8">
        <v>59</v>
      </c>
      <c r="E36" s="17">
        <v>55</v>
      </c>
      <c r="F36" s="17">
        <v>64</v>
      </c>
      <c r="G36" s="11">
        <v>660</v>
      </c>
      <c r="H36" s="11">
        <v>18019359</v>
      </c>
    </row>
    <row r="37" spans="1:8" x14ac:dyDescent="0.25">
      <c r="A37" s="3" t="s">
        <v>90</v>
      </c>
      <c r="B37" s="3" t="s">
        <v>92</v>
      </c>
      <c r="C37" s="3" t="s">
        <v>150</v>
      </c>
      <c r="D37" s="8">
        <v>38</v>
      </c>
      <c r="E37" s="17">
        <v>33</v>
      </c>
      <c r="F37" s="17">
        <v>42</v>
      </c>
      <c r="G37" s="11">
        <v>660</v>
      </c>
      <c r="H37" s="11">
        <v>18019359</v>
      </c>
    </row>
    <row r="38" spans="1:8" x14ac:dyDescent="0.25">
      <c r="A38" s="3" t="s">
        <v>90</v>
      </c>
      <c r="B38" s="3" t="s">
        <v>92</v>
      </c>
      <c r="C38" s="3" t="s">
        <v>151</v>
      </c>
      <c r="D38" s="8">
        <v>77</v>
      </c>
      <c r="E38" s="17">
        <v>73</v>
      </c>
      <c r="F38" s="17">
        <v>81</v>
      </c>
      <c r="G38" s="11">
        <v>660</v>
      </c>
      <c r="H38" s="11">
        <v>18019359</v>
      </c>
    </row>
    <row r="39" spans="1:8" x14ac:dyDescent="0.25">
      <c r="A39" s="3" t="s">
        <v>90</v>
      </c>
      <c r="B39" s="3" t="s">
        <v>92</v>
      </c>
      <c r="C39" s="3" t="s">
        <v>152</v>
      </c>
      <c r="D39" s="8">
        <v>55</v>
      </c>
      <c r="E39" s="17">
        <v>50</v>
      </c>
      <c r="F39" s="17">
        <v>59</v>
      </c>
      <c r="G39" s="11">
        <v>660</v>
      </c>
      <c r="H39" s="11">
        <v>18019359</v>
      </c>
    </row>
    <row r="40" spans="1:8" x14ac:dyDescent="0.25">
      <c r="A40" s="3" t="s">
        <v>90</v>
      </c>
      <c r="B40" s="3" t="s">
        <v>92</v>
      </c>
      <c r="C40" s="3" t="s">
        <v>153</v>
      </c>
      <c r="D40" s="8">
        <v>35</v>
      </c>
      <c r="E40" s="17">
        <v>31</v>
      </c>
      <c r="F40" s="17">
        <v>40</v>
      </c>
      <c r="G40" s="11">
        <v>660</v>
      </c>
      <c r="H40" s="11">
        <v>18019359</v>
      </c>
    </row>
    <row r="41" spans="1:8" x14ac:dyDescent="0.25">
      <c r="A41" s="3" t="s">
        <v>90</v>
      </c>
      <c r="B41" s="3" t="s">
        <v>92</v>
      </c>
      <c r="C41" s="3" t="s">
        <v>154</v>
      </c>
      <c r="D41" s="8">
        <v>53</v>
      </c>
      <c r="E41" s="17">
        <v>48</v>
      </c>
      <c r="F41" s="17">
        <v>57</v>
      </c>
      <c r="G41" s="11">
        <v>660</v>
      </c>
      <c r="H41" s="11">
        <v>18019359</v>
      </c>
    </row>
    <row r="42" spans="1:8" x14ac:dyDescent="0.25">
      <c r="A42" s="3" t="s">
        <v>90</v>
      </c>
      <c r="B42" s="3" t="s">
        <v>92</v>
      </c>
      <c r="C42" s="3" t="s">
        <v>155</v>
      </c>
      <c r="D42" s="8">
        <v>51</v>
      </c>
      <c r="E42" s="17">
        <v>47</v>
      </c>
      <c r="F42" s="17">
        <v>56</v>
      </c>
      <c r="G42" s="11">
        <v>660</v>
      </c>
      <c r="H42" s="11">
        <v>18019359</v>
      </c>
    </row>
    <row r="43" spans="1:8" x14ac:dyDescent="0.25">
      <c r="A43" s="3" t="s">
        <v>90</v>
      </c>
      <c r="B43" s="3" t="s">
        <v>92</v>
      </c>
      <c r="C43" s="3" t="s">
        <v>156</v>
      </c>
      <c r="D43" s="8">
        <v>51</v>
      </c>
      <c r="E43" s="17">
        <v>46</v>
      </c>
      <c r="F43" s="17">
        <v>55</v>
      </c>
      <c r="G43" s="11">
        <v>660</v>
      </c>
      <c r="H43" s="11">
        <v>18019359</v>
      </c>
    </row>
    <row r="44" spans="1:8" x14ac:dyDescent="0.25">
      <c r="A44" s="3" t="s">
        <v>90</v>
      </c>
      <c r="B44" s="3" t="s">
        <v>92</v>
      </c>
      <c r="C44" s="3" t="s">
        <v>157</v>
      </c>
      <c r="D44" s="8">
        <v>38</v>
      </c>
      <c r="E44" s="17">
        <v>33</v>
      </c>
      <c r="F44" s="17">
        <v>42</v>
      </c>
      <c r="G44" s="11">
        <v>660</v>
      </c>
      <c r="H44" s="11">
        <v>18019359</v>
      </c>
    </row>
    <row r="45" spans="1:8" x14ac:dyDescent="0.25">
      <c r="A45" s="3" t="s">
        <v>90</v>
      </c>
      <c r="B45" s="3" t="s">
        <v>92</v>
      </c>
      <c r="C45" s="3" t="s">
        <v>109</v>
      </c>
      <c r="D45" s="8">
        <v>1</v>
      </c>
      <c r="E45" s="17">
        <v>0</v>
      </c>
      <c r="F45" s="17">
        <v>2</v>
      </c>
      <c r="G45" s="11">
        <v>660</v>
      </c>
      <c r="H45" s="11">
        <v>18019359</v>
      </c>
    </row>
    <row r="46" spans="1:8" x14ac:dyDescent="0.25">
      <c r="A46" s="3" t="s">
        <v>90</v>
      </c>
      <c r="B46" s="3" t="s">
        <v>92</v>
      </c>
      <c r="C46" s="3" t="s">
        <v>158</v>
      </c>
      <c r="D46" s="8">
        <v>2</v>
      </c>
      <c r="E46" s="17">
        <v>1</v>
      </c>
      <c r="F46" s="17">
        <v>4</v>
      </c>
      <c r="G46" s="11">
        <v>660</v>
      </c>
      <c r="H46" s="11">
        <v>18019359</v>
      </c>
    </row>
    <row r="47" spans="1:8" ht="35.700000000000003" customHeight="1" x14ac:dyDescent="0.25">
      <c r="A47" s="3" t="s">
        <v>90</v>
      </c>
      <c r="B47" s="3" t="s">
        <v>93</v>
      </c>
      <c r="C47" s="3" t="s">
        <v>148</v>
      </c>
      <c r="D47" s="8">
        <v>39</v>
      </c>
      <c r="E47" s="17">
        <v>36</v>
      </c>
      <c r="F47" s="17">
        <v>43</v>
      </c>
      <c r="G47" s="11">
        <v>1720</v>
      </c>
      <c r="H47" s="11">
        <v>16678195</v>
      </c>
    </row>
    <row r="48" spans="1:8" x14ac:dyDescent="0.25">
      <c r="A48" s="3" t="s">
        <v>90</v>
      </c>
      <c r="B48" s="3" t="s">
        <v>93</v>
      </c>
      <c r="C48" s="3" t="s">
        <v>149</v>
      </c>
      <c r="D48" s="8">
        <v>58</v>
      </c>
      <c r="E48" s="17">
        <v>55</v>
      </c>
      <c r="F48" s="17">
        <v>62</v>
      </c>
      <c r="G48" s="11">
        <v>1720</v>
      </c>
      <c r="H48" s="11">
        <v>16678195</v>
      </c>
    </row>
    <row r="49" spans="1:8" x14ac:dyDescent="0.25">
      <c r="A49" s="3" t="s">
        <v>90</v>
      </c>
      <c r="B49" s="3" t="s">
        <v>93</v>
      </c>
      <c r="C49" s="3" t="s">
        <v>150</v>
      </c>
      <c r="D49" s="8">
        <v>34</v>
      </c>
      <c r="E49" s="17">
        <v>31</v>
      </c>
      <c r="F49" s="17">
        <v>37</v>
      </c>
      <c r="G49" s="11">
        <v>1720</v>
      </c>
      <c r="H49" s="11">
        <v>16678195</v>
      </c>
    </row>
    <row r="50" spans="1:8" x14ac:dyDescent="0.25">
      <c r="A50" s="3" t="s">
        <v>90</v>
      </c>
      <c r="B50" s="3" t="s">
        <v>93</v>
      </c>
      <c r="C50" s="3" t="s">
        <v>151</v>
      </c>
      <c r="D50" s="8">
        <v>72</v>
      </c>
      <c r="E50" s="17">
        <v>69</v>
      </c>
      <c r="F50" s="17">
        <v>75</v>
      </c>
      <c r="G50" s="11">
        <v>1720</v>
      </c>
      <c r="H50" s="11">
        <v>16678195</v>
      </c>
    </row>
    <row r="51" spans="1:8" x14ac:dyDescent="0.25">
      <c r="A51" s="3" t="s">
        <v>90</v>
      </c>
      <c r="B51" s="3" t="s">
        <v>93</v>
      </c>
      <c r="C51" s="3" t="s">
        <v>152</v>
      </c>
      <c r="D51" s="8">
        <v>46</v>
      </c>
      <c r="E51" s="17">
        <v>43</v>
      </c>
      <c r="F51" s="17">
        <v>49</v>
      </c>
      <c r="G51" s="11">
        <v>1720</v>
      </c>
      <c r="H51" s="11">
        <v>16678195</v>
      </c>
    </row>
    <row r="52" spans="1:8" x14ac:dyDescent="0.25">
      <c r="A52" s="3" t="s">
        <v>90</v>
      </c>
      <c r="B52" s="3" t="s">
        <v>93</v>
      </c>
      <c r="C52" s="3" t="s">
        <v>153</v>
      </c>
      <c r="D52" s="8">
        <v>33</v>
      </c>
      <c r="E52" s="17">
        <v>30</v>
      </c>
      <c r="F52" s="17">
        <v>37</v>
      </c>
      <c r="G52" s="11">
        <v>1720</v>
      </c>
      <c r="H52" s="11">
        <v>16678195</v>
      </c>
    </row>
    <row r="53" spans="1:8" x14ac:dyDescent="0.25">
      <c r="A53" s="3" t="s">
        <v>90</v>
      </c>
      <c r="B53" s="3" t="s">
        <v>93</v>
      </c>
      <c r="C53" s="3" t="s">
        <v>154</v>
      </c>
      <c r="D53" s="8">
        <v>47</v>
      </c>
      <c r="E53" s="17">
        <v>44</v>
      </c>
      <c r="F53" s="17">
        <v>51</v>
      </c>
      <c r="G53" s="11">
        <v>1720</v>
      </c>
      <c r="H53" s="11">
        <v>16678195</v>
      </c>
    </row>
    <row r="54" spans="1:8" x14ac:dyDescent="0.25">
      <c r="A54" s="3" t="s">
        <v>90</v>
      </c>
      <c r="B54" s="3" t="s">
        <v>93</v>
      </c>
      <c r="C54" s="3" t="s">
        <v>155</v>
      </c>
      <c r="D54" s="8">
        <v>48</v>
      </c>
      <c r="E54" s="17">
        <v>44</v>
      </c>
      <c r="F54" s="17">
        <v>51</v>
      </c>
      <c r="G54" s="11">
        <v>1720</v>
      </c>
      <c r="H54" s="11">
        <v>16678195</v>
      </c>
    </row>
    <row r="55" spans="1:8" x14ac:dyDescent="0.25">
      <c r="A55" s="3" t="s">
        <v>90</v>
      </c>
      <c r="B55" s="3" t="s">
        <v>93</v>
      </c>
      <c r="C55" s="3" t="s">
        <v>156</v>
      </c>
      <c r="D55" s="8">
        <v>44</v>
      </c>
      <c r="E55" s="17">
        <v>41</v>
      </c>
      <c r="F55" s="17">
        <v>48</v>
      </c>
      <c r="G55" s="11">
        <v>1720</v>
      </c>
      <c r="H55" s="11">
        <v>16678195</v>
      </c>
    </row>
    <row r="56" spans="1:8" x14ac:dyDescent="0.25">
      <c r="A56" s="3" t="s">
        <v>90</v>
      </c>
      <c r="B56" s="3" t="s">
        <v>93</v>
      </c>
      <c r="C56" s="3" t="s">
        <v>157</v>
      </c>
      <c r="D56" s="8">
        <v>37</v>
      </c>
      <c r="E56" s="17">
        <v>34</v>
      </c>
      <c r="F56" s="17">
        <v>40</v>
      </c>
      <c r="G56" s="11">
        <v>1720</v>
      </c>
      <c r="H56" s="11">
        <v>16678195</v>
      </c>
    </row>
    <row r="57" spans="1:8" x14ac:dyDescent="0.25">
      <c r="A57" s="3" t="s">
        <v>90</v>
      </c>
      <c r="B57" s="3" t="s">
        <v>93</v>
      </c>
      <c r="C57" s="3" t="s">
        <v>109</v>
      </c>
      <c r="D57" s="8">
        <v>1</v>
      </c>
      <c r="E57" s="17">
        <v>0</v>
      </c>
      <c r="F57" s="17">
        <v>2</v>
      </c>
      <c r="G57" s="11">
        <v>1720</v>
      </c>
      <c r="H57" s="11">
        <v>16678195</v>
      </c>
    </row>
    <row r="58" spans="1:8" x14ac:dyDescent="0.25">
      <c r="A58" s="3" t="s">
        <v>90</v>
      </c>
      <c r="B58" s="3" t="s">
        <v>93</v>
      </c>
      <c r="C58" s="3" t="s">
        <v>158</v>
      </c>
      <c r="D58" s="8">
        <v>7</v>
      </c>
      <c r="E58" s="17">
        <v>5</v>
      </c>
      <c r="F58" s="17">
        <v>9</v>
      </c>
      <c r="G58" s="11">
        <v>1720</v>
      </c>
      <c r="H58" s="11">
        <v>16678195</v>
      </c>
    </row>
    <row r="59" spans="1:8" ht="35.700000000000003" customHeight="1" x14ac:dyDescent="0.25">
      <c r="A59" s="3" t="s">
        <v>90</v>
      </c>
      <c r="B59" s="3" t="s">
        <v>94</v>
      </c>
      <c r="C59" s="3" t="s">
        <v>148</v>
      </c>
      <c r="D59" s="8">
        <v>41</v>
      </c>
      <c r="E59" s="17">
        <v>38</v>
      </c>
      <c r="F59" s="17">
        <v>44</v>
      </c>
      <c r="G59" s="11">
        <v>1970</v>
      </c>
      <c r="H59" s="11">
        <v>9194391</v>
      </c>
    </row>
    <row r="60" spans="1:8" x14ac:dyDescent="0.25">
      <c r="A60" s="3" t="s">
        <v>90</v>
      </c>
      <c r="B60" s="3" t="s">
        <v>94</v>
      </c>
      <c r="C60" s="3" t="s">
        <v>149</v>
      </c>
      <c r="D60" s="8">
        <v>55</v>
      </c>
      <c r="E60" s="17">
        <v>52</v>
      </c>
      <c r="F60" s="17">
        <v>57</v>
      </c>
      <c r="G60" s="11">
        <v>1970</v>
      </c>
      <c r="H60" s="11">
        <v>9194391</v>
      </c>
    </row>
    <row r="61" spans="1:8" x14ac:dyDescent="0.25">
      <c r="A61" s="3" t="s">
        <v>90</v>
      </c>
      <c r="B61" s="3" t="s">
        <v>94</v>
      </c>
      <c r="C61" s="3" t="s">
        <v>150</v>
      </c>
      <c r="D61" s="8">
        <v>33</v>
      </c>
      <c r="E61" s="17">
        <v>31</v>
      </c>
      <c r="F61" s="17">
        <v>36</v>
      </c>
      <c r="G61" s="11">
        <v>1970</v>
      </c>
      <c r="H61" s="11">
        <v>9194391</v>
      </c>
    </row>
    <row r="62" spans="1:8" x14ac:dyDescent="0.25">
      <c r="A62" s="3" t="s">
        <v>90</v>
      </c>
      <c r="B62" s="3" t="s">
        <v>94</v>
      </c>
      <c r="C62" s="3" t="s">
        <v>151</v>
      </c>
      <c r="D62" s="8">
        <v>72</v>
      </c>
      <c r="E62" s="17">
        <v>69</v>
      </c>
      <c r="F62" s="17">
        <v>74</v>
      </c>
      <c r="G62" s="11">
        <v>1970</v>
      </c>
      <c r="H62" s="11">
        <v>9194391</v>
      </c>
    </row>
    <row r="63" spans="1:8" x14ac:dyDescent="0.25">
      <c r="A63" s="3" t="s">
        <v>90</v>
      </c>
      <c r="B63" s="3" t="s">
        <v>94</v>
      </c>
      <c r="C63" s="3" t="s">
        <v>152</v>
      </c>
      <c r="D63" s="8">
        <v>48</v>
      </c>
      <c r="E63" s="17">
        <v>45</v>
      </c>
      <c r="F63" s="17">
        <v>50</v>
      </c>
      <c r="G63" s="11">
        <v>1970</v>
      </c>
      <c r="H63" s="11">
        <v>9194391</v>
      </c>
    </row>
    <row r="64" spans="1:8" x14ac:dyDescent="0.25">
      <c r="A64" s="3" t="s">
        <v>90</v>
      </c>
      <c r="B64" s="3" t="s">
        <v>94</v>
      </c>
      <c r="C64" s="3" t="s">
        <v>153</v>
      </c>
      <c r="D64" s="8">
        <v>27</v>
      </c>
      <c r="E64" s="17">
        <v>25</v>
      </c>
      <c r="F64" s="17">
        <v>30</v>
      </c>
      <c r="G64" s="11">
        <v>1970</v>
      </c>
      <c r="H64" s="11">
        <v>9194391</v>
      </c>
    </row>
    <row r="65" spans="1:8" x14ac:dyDescent="0.25">
      <c r="A65" s="3" t="s">
        <v>90</v>
      </c>
      <c r="B65" s="3" t="s">
        <v>94</v>
      </c>
      <c r="C65" s="3" t="s">
        <v>154</v>
      </c>
      <c r="D65" s="8">
        <v>51</v>
      </c>
      <c r="E65" s="17">
        <v>48</v>
      </c>
      <c r="F65" s="17">
        <v>54</v>
      </c>
      <c r="G65" s="11">
        <v>1970</v>
      </c>
      <c r="H65" s="11">
        <v>9194391</v>
      </c>
    </row>
    <row r="66" spans="1:8" x14ac:dyDescent="0.25">
      <c r="A66" s="3" t="s">
        <v>90</v>
      </c>
      <c r="B66" s="3" t="s">
        <v>94</v>
      </c>
      <c r="C66" s="3" t="s">
        <v>155</v>
      </c>
      <c r="D66" s="8">
        <v>52</v>
      </c>
      <c r="E66" s="17">
        <v>50</v>
      </c>
      <c r="F66" s="17">
        <v>55</v>
      </c>
      <c r="G66" s="11">
        <v>1970</v>
      </c>
      <c r="H66" s="11">
        <v>9194391</v>
      </c>
    </row>
    <row r="67" spans="1:8" x14ac:dyDescent="0.25">
      <c r="A67" s="3" t="s">
        <v>90</v>
      </c>
      <c r="B67" s="3" t="s">
        <v>94</v>
      </c>
      <c r="C67" s="3" t="s">
        <v>156</v>
      </c>
      <c r="D67" s="8">
        <v>40</v>
      </c>
      <c r="E67" s="17">
        <v>37</v>
      </c>
      <c r="F67" s="17">
        <v>42</v>
      </c>
      <c r="G67" s="11">
        <v>1970</v>
      </c>
      <c r="H67" s="11">
        <v>9194391</v>
      </c>
    </row>
    <row r="68" spans="1:8" x14ac:dyDescent="0.25">
      <c r="A68" s="3" t="s">
        <v>90</v>
      </c>
      <c r="B68" s="3" t="s">
        <v>94</v>
      </c>
      <c r="C68" s="3" t="s">
        <v>157</v>
      </c>
      <c r="D68" s="8">
        <v>40</v>
      </c>
      <c r="E68" s="17">
        <v>37</v>
      </c>
      <c r="F68" s="17">
        <v>43</v>
      </c>
      <c r="G68" s="11">
        <v>1970</v>
      </c>
      <c r="H68" s="11">
        <v>9194391</v>
      </c>
    </row>
    <row r="69" spans="1:8" x14ac:dyDescent="0.25">
      <c r="A69" s="3" t="s">
        <v>90</v>
      </c>
      <c r="B69" s="3" t="s">
        <v>94</v>
      </c>
      <c r="C69" s="3" t="s">
        <v>109</v>
      </c>
      <c r="D69" s="8">
        <v>1</v>
      </c>
      <c r="E69" s="17">
        <v>1</v>
      </c>
      <c r="F69" s="17">
        <v>2</v>
      </c>
      <c r="G69" s="11">
        <v>1970</v>
      </c>
      <c r="H69" s="11">
        <v>9194391</v>
      </c>
    </row>
    <row r="70" spans="1:8" x14ac:dyDescent="0.25">
      <c r="A70" s="3" t="s">
        <v>90</v>
      </c>
      <c r="B70" s="3" t="s">
        <v>94</v>
      </c>
      <c r="C70" s="3" t="s">
        <v>158</v>
      </c>
      <c r="D70" s="8">
        <v>7</v>
      </c>
      <c r="E70" s="17">
        <v>5</v>
      </c>
      <c r="F70" s="17">
        <v>8</v>
      </c>
      <c r="G70" s="11">
        <v>1970</v>
      </c>
      <c r="H70" s="11">
        <v>9194391</v>
      </c>
    </row>
    <row r="71" spans="1:8" ht="35.700000000000003" customHeight="1" x14ac:dyDescent="0.25">
      <c r="A71" s="3" t="s">
        <v>95</v>
      </c>
      <c r="B71" s="3" t="s">
        <v>96</v>
      </c>
      <c r="C71" s="3" t="s">
        <v>148</v>
      </c>
      <c r="D71" s="8">
        <v>37</v>
      </c>
      <c r="E71" s="17">
        <v>34</v>
      </c>
      <c r="F71" s="17">
        <v>40</v>
      </c>
      <c r="G71" s="11">
        <v>2290</v>
      </c>
      <c r="H71" s="11">
        <v>26079740</v>
      </c>
    </row>
    <row r="72" spans="1:8" x14ac:dyDescent="0.25">
      <c r="A72" s="3" t="s">
        <v>95</v>
      </c>
      <c r="B72" s="3" t="s">
        <v>96</v>
      </c>
      <c r="C72" s="3" t="s">
        <v>149</v>
      </c>
      <c r="D72" s="8">
        <v>57</v>
      </c>
      <c r="E72" s="17">
        <v>54</v>
      </c>
      <c r="F72" s="17">
        <v>61</v>
      </c>
      <c r="G72" s="11">
        <v>2290</v>
      </c>
      <c r="H72" s="11">
        <v>26079740</v>
      </c>
    </row>
    <row r="73" spans="1:8" x14ac:dyDescent="0.25">
      <c r="A73" s="3" t="s">
        <v>95</v>
      </c>
      <c r="B73" s="3" t="s">
        <v>96</v>
      </c>
      <c r="C73" s="3" t="s">
        <v>150</v>
      </c>
      <c r="D73" s="8">
        <v>31</v>
      </c>
      <c r="E73" s="17">
        <v>28</v>
      </c>
      <c r="F73" s="17">
        <v>34</v>
      </c>
      <c r="G73" s="11">
        <v>2290</v>
      </c>
      <c r="H73" s="11">
        <v>26079740</v>
      </c>
    </row>
    <row r="74" spans="1:8" x14ac:dyDescent="0.25">
      <c r="A74" s="3" t="s">
        <v>95</v>
      </c>
      <c r="B74" s="3" t="s">
        <v>96</v>
      </c>
      <c r="C74" s="3" t="s">
        <v>151</v>
      </c>
      <c r="D74" s="8">
        <v>71</v>
      </c>
      <c r="E74" s="17">
        <v>68</v>
      </c>
      <c r="F74" s="17">
        <v>74</v>
      </c>
      <c r="G74" s="11">
        <v>2290</v>
      </c>
      <c r="H74" s="11">
        <v>26079740</v>
      </c>
    </row>
    <row r="75" spans="1:8" x14ac:dyDescent="0.25">
      <c r="A75" s="3" t="s">
        <v>95</v>
      </c>
      <c r="B75" s="3" t="s">
        <v>96</v>
      </c>
      <c r="C75" s="3" t="s">
        <v>152</v>
      </c>
      <c r="D75" s="8">
        <v>46</v>
      </c>
      <c r="E75" s="17">
        <v>43</v>
      </c>
      <c r="F75" s="17">
        <v>50</v>
      </c>
      <c r="G75" s="11">
        <v>2290</v>
      </c>
      <c r="H75" s="11">
        <v>26079740</v>
      </c>
    </row>
    <row r="76" spans="1:8" x14ac:dyDescent="0.25">
      <c r="A76" s="3" t="s">
        <v>95</v>
      </c>
      <c r="B76" s="3" t="s">
        <v>96</v>
      </c>
      <c r="C76" s="3" t="s">
        <v>153</v>
      </c>
      <c r="D76" s="8">
        <v>33</v>
      </c>
      <c r="E76" s="17">
        <v>30</v>
      </c>
      <c r="F76" s="17">
        <v>36</v>
      </c>
      <c r="G76" s="11">
        <v>2290</v>
      </c>
      <c r="H76" s="11">
        <v>26079740</v>
      </c>
    </row>
    <row r="77" spans="1:8" x14ac:dyDescent="0.25">
      <c r="A77" s="3" t="s">
        <v>95</v>
      </c>
      <c r="B77" s="3" t="s">
        <v>96</v>
      </c>
      <c r="C77" s="3" t="s">
        <v>154</v>
      </c>
      <c r="D77" s="8">
        <v>49</v>
      </c>
      <c r="E77" s="17">
        <v>45</v>
      </c>
      <c r="F77" s="17">
        <v>52</v>
      </c>
      <c r="G77" s="11">
        <v>2290</v>
      </c>
      <c r="H77" s="11">
        <v>26079740</v>
      </c>
    </row>
    <row r="78" spans="1:8" x14ac:dyDescent="0.25">
      <c r="A78" s="3" t="s">
        <v>95</v>
      </c>
      <c r="B78" s="3" t="s">
        <v>96</v>
      </c>
      <c r="C78" s="3" t="s">
        <v>155</v>
      </c>
      <c r="D78" s="8">
        <v>47</v>
      </c>
      <c r="E78" s="17">
        <v>44</v>
      </c>
      <c r="F78" s="17">
        <v>51</v>
      </c>
      <c r="G78" s="11">
        <v>2290</v>
      </c>
      <c r="H78" s="11">
        <v>26079740</v>
      </c>
    </row>
    <row r="79" spans="1:8" x14ac:dyDescent="0.25">
      <c r="A79" s="3" t="s">
        <v>95</v>
      </c>
      <c r="B79" s="3" t="s">
        <v>96</v>
      </c>
      <c r="C79" s="3" t="s">
        <v>156</v>
      </c>
      <c r="D79" s="8">
        <v>44</v>
      </c>
      <c r="E79" s="17">
        <v>41</v>
      </c>
      <c r="F79" s="17">
        <v>48</v>
      </c>
      <c r="G79" s="11">
        <v>2290</v>
      </c>
      <c r="H79" s="11">
        <v>26079740</v>
      </c>
    </row>
    <row r="80" spans="1:8" x14ac:dyDescent="0.25">
      <c r="A80" s="3" t="s">
        <v>95</v>
      </c>
      <c r="B80" s="3" t="s">
        <v>96</v>
      </c>
      <c r="C80" s="3" t="s">
        <v>157</v>
      </c>
      <c r="D80" s="8">
        <v>34</v>
      </c>
      <c r="E80" s="17">
        <v>31</v>
      </c>
      <c r="F80" s="17">
        <v>37</v>
      </c>
      <c r="G80" s="11">
        <v>2290</v>
      </c>
      <c r="H80" s="11">
        <v>26079740</v>
      </c>
    </row>
    <row r="81" spans="1:8" x14ac:dyDescent="0.25">
      <c r="A81" s="3" t="s">
        <v>95</v>
      </c>
      <c r="B81" s="3" t="s">
        <v>96</v>
      </c>
      <c r="C81" s="3" t="s">
        <v>109</v>
      </c>
      <c r="D81" s="8">
        <v>2</v>
      </c>
      <c r="E81" s="17">
        <v>1</v>
      </c>
      <c r="F81" s="17">
        <v>2</v>
      </c>
      <c r="G81" s="11">
        <v>2290</v>
      </c>
      <c r="H81" s="11">
        <v>26079740</v>
      </c>
    </row>
    <row r="82" spans="1:8" x14ac:dyDescent="0.25">
      <c r="A82" s="3" t="s">
        <v>95</v>
      </c>
      <c r="B82" s="3" t="s">
        <v>96</v>
      </c>
      <c r="C82" s="3" t="s">
        <v>158</v>
      </c>
      <c r="D82" s="8">
        <v>5</v>
      </c>
      <c r="E82" s="17">
        <v>4</v>
      </c>
      <c r="F82" s="17">
        <v>6</v>
      </c>
      <c r="G82" s="11">
        <v>2290</v>
      </c>
      <c r="H82" s="11">
        <v>26079740</v>
      </c>
    </row>
    <row r="83" spans="1:8" ht="35.700000000000003" customHeight="1" x14ac:dyDescent="0.25">
      <c r="A83" s="3" t="s">
        <v>95</v>
      </c>
      <c r="B83" s="3" t="s">
        <v>97</v>
      </c>
      <c r="C83" s="3" t="s">
        <v>148</v>
      </c>
      <c r="D83" s="8">
        <v>48</v>
      </c>
      <c r="E83" s="17">
        <v>45</v>
      </c>
      <c r="F83" s="17">
        <v>51</v>
      </c>
      <c r="G83" s="11">
        <v>2330</v>
      </c>
      <c r="H83" s="11">
        <v>27745540</v>
      </c>
    </row>
    <row r="84" spans="1:8" x14ac:dyDescent="0.25">
      <c r="A84" s="3" t="s">
        <v>95</v>
      </c>
      <c r="B84" s="3" t="s">
        <v>97</v>
      </c>
      <c r="C84" s="3" t="s">
        <v>149</v>
      </c>
      <c r="D84" s="8">
        <v>60</v>
      </c>
      <c r="E84" s="17">
        <v>57</v>
      </c>
      <c r="F84" s="17">
        <v>63</v>
      </c>
      <c r="G84" s="11">
        <v>2330</v>
      </c>
      <c r="H84" s="11">
        <v>27745540</v>
      </c>
    </row>
    <row r="85" spans="1:8" x14ac:dyDescent="0.25">
      <c r="A85" s="3" t="s">
        <v>95</v>
      </c>
      <c r="B85" s="3" t="s">
        <v>97</v>
      </c>
      <c r="C85" s="3" t="s">
        <v>150</v>
      </c>
      <c r="D85" s="8">
        <v>41</v>
      </c>
      <c r="E85" s="17">
        <v>38</v>
      </c>
      <c r="F85" s="17">
        <v>44</v>
      </c>
      <c r="G85" s="11">
        <v>2330</v>
      </c>
      <c r="H85" s="11">
        <v>27745540</v>
      </c>
    </row>
    <row r="86" spans="1:8" x14ac:dyDescent="0.25">
      <c r="A86" s="3" t="s">
        <v>95</v>
      </c>
      <c r="B86" s="3" t="s">
        <v>97</v>
      </c>
      <c r="C86" s="3" t="s">
        <v>151</v>
      </c>
      <c r="D86" s="8">
        <v>78</v>
      </c>
      <c r="E86" s="17">
        <v>75</v>
      </c>
      <c r="F86" s="17">
        <v>80</v>
      </c>
      <c r="G86" s="11">
        <v>2330</v>
      </c>
      <c r="H86" s="11">
        <v>27745540</v>
      </c>
    </row>
    <row r="87" spans="1:8" x14ac:dyDescent="0.25">
      <c r="A87" s="3" t="s">
        <v>95</v>
      </c>
      <c r="B87" s="3" t="s">
        <v>97</v>
      </c>
      <c r="C87" s="3" t="s">
        <v>152</v>
      </c>
      <c r="D87" s="8">
        <v>54</v>
      </c>
      <c r="E87" s="17">
        <v>51</v>
      </c>
      <c r="F87" s="17">
        <v>57</v>
      </c>
      <c r="G87" s="11">
        <v>2330</v>
      </c>
      <c r="H87" s="11">
        <v>27745540</v>
      </c>
    </row>
    <row r="88" spans="1:8" x14ac:dyDescent="0.25">
      <c r="A88" s="3" t="s">
        <v>95</v>
      </c>
      <c r="B88" s="3" t="s">
        <v>97</v>
      </c>
      <c r="C88" s="3" t="s">
        <v>153</v>
      </c>
      <c r="D88" s="8">
        <v>38</v>
      </c>
      <c r="E88" s="17">
        <v>35</v>
      </c>
      <c r="F88" s="17">
        <v>40</v>
      </c>
      <c r="G88" s="11">
        <v>2330</v>
      </c>
      <c r="H88" s="11">
        <v>27745540</v>
      </c>
    </row>
    <row r="89" spans="1:8" x14ac:dyDescent="0.25">
      <c r="A89" s="3" t="s">
        <v>95</v>
      </c>
      <c r="B89" s="3" t="s">
        <v>97</v>
      </c>
      <c r="C89" s="3" t="s">
        <v>154</v>
      </c>
      <c r="D89" s="8">
        <v>51</v>
      </c>
      <c r="E89" s="17">
        <v>48</v>
      </c>
      <c r="F89" s="17">
        <v>54</v>
      </c>
      <c r="G89" s="11">
        <v>2330</v>
      </c>
      <c r="H89" s="11">
        <v>27745540</v>
      </c>
    </row>
    <row r="90" spans="1:8" x14ac:dyDescent="0.25">
      <c r="A90" s="3" t="s">
        <v>95</v>
      </c>
      <c r="B90" s="3" t="s">
        <v>97</v>
      </c>
      <c r="C90" s="3" t="s">
        <v>155</v>
      </c>
      <c r="D90" s="8">
        <v>52</v>
      </c>
      <c r="E90" s="17">
        <v>49</v>
      </c>
      <c r="F90" s="17">
        <v>55</v>
      </c>
      <c r="G90" s="11">
        <v>2330</v>
      </c>
      <c r="H90" s="11">
        <v>27745540</v>
      </c>
    </row>
    <row r="91" spans="1:8" x14ac:dyDescent="0.25">
      <c r="A91" s="3" t="s">
        <v>95</v>
      </c>
      <c r="B91" s="3" t="s">
        <v>97</v>
      </c>
      <c r="C91" s="3" t="s">
        <v>156</v>
      </c>
      <c r="D91" s="8">
        <v>52</v>
      </c>
      <c r="E91" s="17">
        <v>49</v>
      </c>
      <c r="F91" s="17">
        <v>55</v>
      </c>
      <c r="G91" s="11">
        <v>2330</v>
      </c>
      <c r="H91" s="11">
        <v>27745540</v>
      </c>
    </row>
    <row r="92" spans="1:8" x14ac:dyDescent="0.25">
      <c r="A92" s="3" t="s">
        <v>95</v>
      </c>
      <c r="B92" s="3" t="s">
        <v>97</v>
      </c>
      <c r="C92" s="3" t="s">
        <v>157</v>
      </c>
      <c r="D92" s="8">
        <v>40</v>
      </c>
      <c r="E92" s="17">
        <v>37</v>
      </c>
      <c r="F92" s="17">
        <v>43</v>
      </c>
      <c r="G92" s="11">
        <v>2330</v>
      </c>
      <c r="H92" s="11">
        <v>27745540</v>
      </c>
    </row>
    <row r="93" spans="1:8" x14ac:dyDescent="0.25">
      <c r="A93" s="3" t="s">
        <v>95</v>
      </c>
      <c r="B93" s="3" t="s">
        <v>97</v>
      </c>
      <c r="C93" s="3" t="s">
        <v>109</v>
      </c>
      <c r="D93" s="8">
        <v>1</v>
      </c>
      <c r="E93" s="17">
        <v>1</v>
      </c>
      <c r="F93" s="17">
        <v>2</v>
      </c>
      <c r="G93" s="11">
        <v>2330</v>
      </c>
      <c r="H93" s="11">
        <v>27745540</v>
      </c>
    </row>
    <row r="94" spans="1:8" x14ac:dyDescent="0.25">
      <c r="A94" s="3" t="s">
        <v>95</v>
      </c>
      <c r="B94" s="3" t="s">
        <v>97</v>
      </c>
      <c r="C94" s="3" t="s">
        <v>158</v>
      </c>
      <c r="D94" s="8">
        <v>5</v>
      </c>
      <c r="E94" s="17">
        <v>3</v>
      </c>
      <c r="F94" s="17">
        <v>6</v>
      </c>
      <c r="G94" s="11">
        <v>2330</v>
      </c>
      <c r="H94" s="11">
        <v>27745540</v>
      </c>
    </row>
    <row r="95" spans="1:8" ht="35.700000000000003" customHeight="1" x14ac:dyDescent="0.25">
      <c r="A95" s="3" t="s">
        <v>45</v>
      </c>
      <c r="B95" s="3" t="s">
        <v>88</v>
      </c>
      <c r="C95" s="3" t="s">
        <v>148</v>
      </c>
      <c r="D95" s="8">
        <v>43</v>
      </c>
      <c r="E95" s="17">
        <v>41</v>
      </c>
      <c r="F95" s="17">
        <v>46</v>
      </c>
      <c r="G95" s="11">
        <v>4010</v>
      </c>
      <c r="H95" s="11">
        <v>43803465</v>
      </c>
    </row>
    <row r="96" spans="1:8" x14ac:dyDescent="0.25">
      <c r="A96" s="3" t="s">
        <v>45</v>
      </c>
      <c r="B96" s="3" t="s">
        <v>88</v>
      </c>
      <c r="C96" s="3" t="s">
        <v>149</v>
      </c>
      <c r="D96" s="8">
        <v>59</v>
      </c>
      <c r="E96" s="17">
        <v>57</v>
      </c>
      <c r="F96" s="17">
        <v>62</v>
      </c>
      <c r="G96" s="11">
        <v>4010</v>
      </c>
      <c r="H96" s="11">
        <v>43803465</v>
      </c>
    </row>
    <row r="97" spans="1:8" x14ac:dyDescent="0.25">
      <c r="A97" s="3" t="s">
        <v>45</v>
      </c>
      <c r="B97" s="3" t="s">
        <v>88</v>
      </c>
      <c r="C97" s="3" t="s">
        <v>150</v>
      </c>
      <c r="D97" s="8">
        <v>36</v>
      </c>
      <c r="E97" s="17">
        <v>34</v>
      </c>
      <c r="F97" s="17">
        <v>39</v>
      </c>
      <c r="G97" s="11">
        <v>4010</v>
      </c>
      <c r="H97" s="11">
        <v>43803465</v>
      </c>
    </row>
    <row r="98" spans="1:8" x14ac:dyDescent="0.25">
      <c r="A98" s="3" t="s">
        <v>45</v>
      </c>
      <c r="B98" s="3" t="s">
        <v>88</v>
      </c>
      <c r="C98" s="3" t="s">
        <v>151</v>
      </c>
      <c r="D98" s="8">
        <v>75</v>
      </c>
      <c r="E98" s="17">
        <v>73</v>
      </c>
      <c r="F98" s="17">
        <v>77</v>
      </c>
      <c r="G98" s="11">
        <v>4010</v>
      </c>
      <c r="H98" s="11">
        <v>43803465</v>
      </c>
    </row>
    <row r="99" spans="1:8" x14ac:dyDescent="0.25">
      <c r="A99" s="3" t="s">
        <v>45</v>
      </c>
      <c r="B99" s="3" t="s">
        <v>88</v>
      </c>
      <c r="C99" s="3" t="s">
        <v>152</v>
      </c>
      <c r="D99" s="8">
        <v>49</v>
      </c>
      <c r="E99" s="17">
        <v>47</v>
      </c>
      <c r="F99" s="17">
        <v>52</v>
      </c>
      <c r="G99" s="11">
        <v>4010</v>
      </c>
      <c r="H99" s="11">
        <v>43803465</v>
      </c>
    </row>
    <row r="100" spans="1:8" x14ac:dyDescent="0.25">
      <c r="A100" s="3" t="s">
        <v>45</v>
      </c>
      <c r="B100" s="3" t="s">
        <v>88</v>
      </c>
      <c r="C100" s="3" t="s">
        <v>153</v>
      </c>
      <c r="D100" s="8">
        <v>34</v>
      </c>
      <c r="E100" s="17">
        <v>32</v>
      </c>
      <c r="F100" s="17">
        <v>36</v>
      </c>
      <c r="G100" s="11">
        <v>4010</v>
      </c>
      <c r="H100" s="11">
        <v>43803465</v>
      </c>
    </row>
    <row r="101" spans="1:8" x14ac:dyDescent="0.25">
      <c r="A101" s="3" t="s">
        <v>45</v>
      </c>
      <c r="B101" s="3" t="s">
        <v>88</v>
      </c>
      <c r="C101" s="3" t="s">
        <v>154</v>
      </c>
      <c r="D101" s="8">
        <v>51</v>
      </c>
      <c r="E101" s="17">
        <v>48</v>
      </c>
      <c r="F101" s="17">
        <v>53</v>
      </c>
      <c r="G101" s="11">
        <v>4010</v>
      </c>
      <c r="H101" s="11">
        <v>43803465</v>
      </c>
    </row>
    <row r="102" spans="1:8" x14ac:dyDescent="0.25">
      <c r="A102" s="3" t="s">
        <v>45</v>
      </c>
      <c r="B102" s="3" t="s">
        <v>88</v>
      </c>
      <c r="C102" s="3" t="s">
        <v>155</v>
      </c>
      <c r="D102" s="8">
        <v>51</v>
      </c>
      <c r="E102" s="17">
        <v>49</v>
      </c>
      <c r="F102" s="17">
        <v>53</v>
      </c>
      <c r="G102" s="11">
        <v>4010</v>
      </c>
      <c r="H102" s="11">
        <v>43803465</v>
      </c>
    </row>
    <row r="103" spans="1:8" x14ac:dyDescent="0.25">
      <c r="A103" s="3" t="s">
        <v>45</v>
      </c>
      <c r="B103" s="3" t="s">
        <v>88</v>
      </c>
      <c r="C103" s="3" t="s">
        <v>156</v>
      </c>
      <c r="D103" s="8">
        <v>47</v>
      </c>
      <c r="E103" s="17">
        <v>45</v>
      </c>
      <c r="F103" s="17">
        <v>50</v>
      </c>
      <c r="G103" s="11">
        <v>4010</v>
      </c>
      <c r="H103" s="11">
        <v>43803465</v>
      </c>
    </row>
    <row r="104" spans="1:8" x14ac:dyDescent="0.25">
      <c r="A104" s="3" t="s">
        <v>45</v>
      </c>
      <c r="B104" s="3" t="s">
        <v>88</v>
      </c>
      <c r="C104" s="3" t="s">
        <v>157</v>
      </c>
      <c r="D104" s="8">
        <v>38</v>
      </c>
      <c r="E104" s="17">
        <v>35</v>
      </c>
      <c r="F104" s="17">
        <v>40</v>
      </c>
      <c r="G104" s="11">
        <v>4010</v>
      </c>
      <c r="H104" s="11">
        <v>43803465</v>
      </c>
    </row>
    <row r="105" spans="1:8" x14ac:dyDescent="0.25">
      <c r="A105" s="3" t="s">
        <v>45</v>
      </c>
      <c r="B105" s="3" t="s">
        <v>88</v>
      </c>
      <c r="C105" s="3" t="s">
        <v>109</v>
      </c>
      <c r="D105" s="8">
        <v>1</v>
      </c>
      <c r="E105" s="17">
        <v>1</v>
      </c>
      <c r="F105" s="17">
        <v>2</v>
      </c>
      <c r="G105" s="11">
        <v>4010</v>
      </c>
      <c r="H105" s="11">
        <v>43803465</v>
      </c>
    </row>
    <row r="106" spans="1:8" x14ac:dyDescent="0.25">
      <c r="A106" s="3" t="s">
        <v>45</v>
      </c>
      <c r="B106" s="3" t="s">
        <v>88</v>
      </c>
      <c r="C106" s="3" t="s">
        <v>158</v>
      </c>
      <c r="D106" s="8">
        <v>4</v>
      </c>
      <c r="E106" s="17">
        <v>3</v>
      </c>
      <c r="F106" s="17">
        <v>5</v>
      </c>
      <c r="G106" s="11">
        <v>4010</v>
      </c>
      <c r="H106" s="11">
        <v>43803465</v>
      </c>
    </row>
    <row r="107" spans="1:8" ht="35.700000000000003" customHeight="1" x14ac:dyDescent="0.25">
      <c r="A107" s="3" t="s">
        <v>45</v>
      </c>
      <c r="B107" s="3" t="s">
        <v>89</v>
      </c>
      <c r="C107" s="3" t="s">
        <v>148</v>
      </c>
      <c r="D107" s="8">
        <v>41</v>
      </c>
      <c r="E107" s="17">
        <v>36</v>
      </c>
      <c r="F107" s="17">
        <v>47</v>
      </c>
      <c r="G107" s="11">
        <v>590</v>
      </c>
      <c r="H107" s="11">
        <v>9941041</v>
      </c>
    </row>
    <row r="108" spans="1:8" ht="30" x14ac:dyDescent="0.25">
      <c r="A108" s="3" t="s">
        <v>45</v>
      </c>
      <c r="B108" s="3" t="s">
        <v>89</v>
      </c>
      <c r="C108" s="3" t="s">
        <v>149</v>
      </c>
      <c r="D108" s="8">
        <v>57</v>
      </c>
      <c r="E108" s="17">
        <v>52</v>
      </c>
      <c r="F108" s="17">
        <v>63</v>
      </c>
      <c r="G108" s="11">
        <v>590</v>
      </c>
      <c r="H108" s="11">
        <v>9941041</v>
      </c>
    </row>
    <row r="109" spans="1:8" ht="30" x14ac:dyDescent="0.25">
      <c r="A109" s="3" t="s">
        <v>45</v>
      </c>
      <c r="B109" s="3" t="s">
        <v>89</v>
      </c>
      <c r="C109" s="3" t="s">
        <v>150</v>
      </c>
      <c r="D109" s="8">
        <v>36</v>
      </c>
      <c r="E109" s="17">
        <v>31</v>
      </c>
      <c r="F109" s="17">
        <v>42</v>
      </c>
      <c r="G109" s="11">
        <v>590</v>
      </c>
      <c r="H109" s="11">
        <v>9941041</v>
      </c>
    </row>
    <row r="110" spans="1:8" ht="30" x14ac:dyDescent="0.25">
      <c r="A110" s="3" t="s">
        <v>45</v>
      </c>
      <c r="B110" s="3" t="s">
        <v>89</v>
      </c>
      <c r="C110" s="3" t="s">
        <v>151</v>
      </c>
      <c r="D110" s="8">
        <v>73</v>
      </c>
      <c r="E110" s="17">
        <v>68</v>
      </c>
      <c r="F110" s="17">
        <v>78</v>
      </c>
      <c r="G110" s="11">
        <v>590</v>
      </c>
      <c r="H110" s="11">
        <v>9941041</v>
      </c>
    </row>
    <row r="111" spans="1:8" ht="30" x14ac:dyDescent="0.25">
      <c r="A111" s="3" t="s">
        <v>45</v>
      </c>
      <c r="B111" s="3" t="s">
        <v>89</v>
      </c>
      <c r="C111" s="3" t="s">
        <v>152</v>
      </c>
      <c r="D111" s="8">
        <v>55</v>
      </c>
      <c r="E111" s="17">
        <v>49</v>
      </c>
      <c r="F111" s="17">
        <v>60</v>
      </c>
      <c r="G111" s="11">
        <v>590</v>
      </c>
      <c r="H111" s="11">
        <v>9941041</v>
      </c>
    </row>
    <row r="112" spans="1:8" ht="30" x14ac:dyDescent="0.25">
      <c r="A112" s="3" t="s">
        <v>45</v>
      </c>
      <c r="B112" s="3" t="s">
        <v>89</v>
      </c>
      <c r="C112" s="3" t="s">
        <v>153</v>
      </c>
      <c r="D112" s="8">
        <v>41</v>
      </c>
      <c r="E112" s="17">
        <v>36</v>
      </c>
      <c r="F112" s="17">
        <v>47</v>
      </c>
      <c r="G112" s="11">
        <v>590</v>
      </c>
      <c r="H112" s="11">
        <v>9941041</v>
      </c>
    </row>
    <row r="113" spans="1:8" ht="30" x14ac:dyDescent="0.25">
      <c r="A113" s="3" t="s">
        <v>45</v>
      </c>
      <c r="B113" s="3" t="s">
        <v>89</v>
      </c>
      <c r="C113" s="3" t="s">
        <v>154</v>
      </c>
      <c r="D113" s="8">
        <v>45</v>
      </c>
      <c r="E113" s="17">
        <v>40</v>
      </c>
      <c r="F113" s="17">
        <v>51</v>
      </c>
      <c r="G113" s="11">
        <v>590</v>
      </c>
      <c r="H113" s="11">
        <v>9941041</v>
      </c>
    </row>
    <row r="114" spans="1:8" ht="30" x14ac:dyDescent="0.25">
      <c r="A114" s="3" t="s">
        <v>45</v>
      </c>
      <c r="B114" s="3" t="s">
        <v>89</v>
      </c>
      <c r="C114" s="3" t="s">
        <v>155</v>
      </c>
      <c r="D114" s="8">
        <v>45</v>
      </c>
      <c r="E114" s="17">
        <v>39</v>
      </c>
      <c r="F114" s="17">
        <v>51</v>
      </c>
      <c r="G114" s="11">
        <v>590</v>
      </c>
      <c r="H114" s="11">
        <v>9941041</v>
      </c>
    </row>
    <row r="115" spans="1:8" ht="30" x14ac:dyDescent="0.25">
      <c r="A115" s="3" t="s">
        <v>45</v>
      </c>
      <c r="B115" s="3" t="s">
        <v>89</v>
      </c>
      <c r="C115" s="3" t="s">
        <v>156</v>
      </c>
      <c r="D115" s="8">
        <v>52</v>
      </c>
      <c r="E115" s="17">
        <v>46</v>
      </c>
      <c r="F115" s="17">
        <v>57</v>
      </c>
      <c r="G115" s="11">
        <v>590</v>
      </c>
      <c r="H115" s="11">
        <v>9941041</v>
      </c>
    </row>
    <row r="116" spans="1:8" ht="30" x14ac:dyDescent="0.25">
      <c r="A116" s="3" t="s">
        <v>45</v>
      </c>
      <c r="B116" s="3" t="s">
        <v>89</v>
      </c>
      <c r="C116" s="3" t="s">
        <v>157</v>
      </c>
      <c r="D116" s="8">
        <v>34</v>
      </c>
      <c r="E116" s="17">
        <v>29</v>
      </c>
      <c r="F116" s="17">
        <v>40</v>
      </c>
      <c r="G116" s="11">
        <v>590</v>
      </c>
      <c r="H116" s="11">
        <v>9941041</v>
      </c>
    </row>
    <row r="117" spans="1:8" ht="30" x14ac:dyDescent="0.25">
      <c r="A117" s="3" t="s">
        <v>45</v>
      </c>
      <c r="B117" s="3" t="s">
        <v>89</v>
      </c>
      <c r="C117" s="3" t="s">
        <v>109</v>
      </c>
      <c r="D117" s="8">
        <v>2</v>
      </c>
      <c r="E117" s="17">
        <v>0</v>
      </c>
      <c r="F117" s="17">
        <v>4</v>
      </c>
      <c r="G117" s="11">
        <v>590</v>
      </c>
      <c r="H117" s="11">
        <v>9941041</v>
      </c>
    </row>
    <row r="118" spans="1:8" ht="30" x14ac:dyDescent="0.25">
      <c r="A118" s="3" t="s">
        <v>45</v>
      </c>
      <c r="B118" s="3" t="s">
        <v>89</v>
      </c>
      <c r="C118" s="3" t="s">
        <v>158</v>
      </c>
      <c r="D118" s="8">
        <v>7</v>
      </c>
      <c r="E118" s="17">
        <v>4</v>
      </c>
      <c r="F118" s="17">
        <v>10</v>
      </c>
      <c r="G118" s="11">
        <v>590</v>
      </c>
      <c r="H118" s="11">
        <v>9941041</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workbookViewId="0"/>
  </sheetViews>
  <sheetFormatPr defaultColWidth="10.90625" defaultRowHeight="15" x14ac:dyDescent="0.25"/>
  <cols>
    <col min="1" max="1" width="17.81640625" customWidth="1"/>
    <col min="2" max="2" width="23.6328125" customWidth="1"/>
    <col min="3" max="7" width="16.81640625" customWidth="1"/>
  </cols>
  <sheetData>
    <row r="1" spans="1:7" ht="21" x14ac:dyDescent="0.4">
      <c r="A1" s="5" t="s">
        <v>159</v>
      </c>
    </row>
    <row r="2" spans="1:7" ht="16.8" x14ac:dyDescent="0.3">
      <c r="A2" s="21" t="s">
        <v>76</v>
      </c>
    </row>
    <row r="3" spans="1:7" x14ac:dyDescent="0.25">
      <c r="A3" t="s">
        <v>37</v>
      </c>
    </row>
    <row r="4" spans="1:7" x14ac:dyDescent="0.25">
      <c r="A4" t="s">
        <v>77</v>
      </c>
    </row>
    <row r="5" spans="1:7" x14ac:dyDescent="0.25">
      <c r="A5" s="25" t="str">
        <f>HYPERLINK("#'Cover'!A29", "If shorthand is present please refer to the Suppression and shorthand section in the Cover_sheet tab")</f>
        <v>If shorthand is present please refer to the Suppression and shorthand section in the Cover_sheet tab</v>
      </c>
    </row>
    <row r="6" spans="1:7" x14ac:dyDescent="0.25">
      <c r="A6" s="19" t="str">
        <f>HYPERLINK("#'Contents'!A1", "Return to table of contents")</f>
        <v>Return to table of contents</v>
      </c>
    </row>
    <row r="7" spans="1:7" x14ac:dyDescent="0.25">
      <c r="A7" t="s">
        <v>78</v>
      </c>
    </row>
    <row r="8" spans="1:7" ht="15.6" x14ac:dyDescent="0.3">
      <c r="A8" s="20" t="s">
        <v>160</v>
      </c>
    </row>
    <row r="9" spans="1:7" ht="15.6" x14ac:dyDescent="0.3">
      <c r="A9" s="20" t="s">
        <v>1</v>
      </c>
    </row>
    <row r="10" spans="1:7" ht="31.2" x14ac:dyDescent="0.3">
      <c r="A10" s="9" t="s">
        <v>80</v>
      </c>
      <c r="B10" s="9" t="s">
        <v>81</v>
      </c>
      <c r="C10" s="10" t="s">
        <v>126</v>
      </c>
      <c r="D10" s="10" t="s">
        <v>84</v>
      </c>
      <c r="E10" s="10" t="s">
        <v>85</v>
      </c>
      <c r="F10" s="10" t="s">
        <v>20</v>
      </c>
      <c r="G10" s="10" t="s">
        <v>17</v>
      </c>
    </row>
    <row r="11" spans="1:7" x14ac:dyDescent="0.25">
      <c r="A11" s="3" t="s">
        <v>86</v>
      </c>
      <c r="B11" s="3" t="s">
        <v>87</v>
      </c>
      <c r="C11" s="8">
        <v>6.5</v>
      </c>
      <c r="D11" s="18">
        <v>6.4</v>
      </c>
      <c r="E11" s="18">
        <v>6.6</v>
      </c>
      <c r="F11" s="11">
        <v>4440</v>
      </c>
      <c r="G11" s="11">
        <v>51816322</v>
      </c>
    </row>
    <row r="12" spans="1:7" ht="35.700000000000003" customHeight="1" x14ac:dyDescent="0.25">
      <c r="A12" s="3" t="s">
        <v>90</v>
      </c>
      <c r="B12" s="3" t="s">
        <v>91</v>
      </c>
      <c r="C12" s="8">
        <v>6.6</v>
      </c>
      <c r="D12" s="18">
        <v>6.3</v>
      </c>
      <c r="E12" s="18">
        <v>6.9</v>
      </c>
      <c r="F12" s="11">
        <v>250</v>
      </c>
      <c r="G12" s="11">
        <v>9395784</v>
      </c>
    </row>
    <row r="13" spans="1:7" ht="35.700000000000003" customHeight="1" x14ac:dyDescent="0.25">
      <c r="A13" s="3" t="s">
        <v>90</v>
      </c>
      <c r="B13" s="3" t="s">
        <v>92</v>
      </c>
      <c r="C13" s="8">
        <v>6.5</v>
      </c>
      <c r="D13" s="18">
        <v>6.2</v>
      </c>
      <c r="E13" s="18">
        <v>6.7</v>
      </c>
      <c r="F13" s="11">
        <v>660</v>
      </c>
      <c r="G13" s="11">
        <v>17836822</v>
      </c>
    </row>
    <row r="14" spans="1:7" ht="35.700000000000003" customHeight="1" x14ac:dyDescent="0.25">
      <c r="A14" s="3" t="s">
        <v>90</v>
      </c>
      <c r="B14" s="3" t="s">
        <v>93</v>
      </c>
      <c r="C14" s="8">
        <v>6.4</v>
      </c>
      <c r="D14" s="18">
        <v>6.2</v>
      </c>
      <c r="E14" s="18">
        <v>6.6</v>
      </c>
      <c r="F14" s="11">
        <v>1660</v>
      </c>
      <c r="G14" s="11">
        <v>15969284</v>
      </c>
    </row>
    <row r="15" spans="1:7" ht="35.700000000000003" customHeight="1" x14ac:dyDescent="0.25">
      <c r="A15" s="3" t="s">
        <v>90</v>
      </c>
      <c r="B15" s="3" t="s">
        <v>94</v>
      </c>
      <c r="C15" s="8">
        <v>6.5</v>
      </c>
      <c r="D15" s="18">
        <v>6.4</v>
      </c>
      <c r="E15" s="18">
        <v>6.7</v>
      </c>
      <c r="F15" s="11">
        <v>1870</v>
      </c>
      <c r="G15" s="11">
        <v>8614432</v>
      </c>
    </row>
    <row r="16" spans="1:7" ht="35.700000000000003" customHeight="1" x14ac:dyDescent="0.25">
      <c r="A16" s="3" t="s">
        <v>95</v>
      </c>
      <c r="B16" s="3" t="s">
        <v>96</v>
      </c>
      <c r="C16" s="8">
        <v>6.3</v>
      </c>
      <c r="D16" s="18">
        <v>6.1</v>
      </c>
      <c r="E16" s="18">
        <v>6.4</v>
      </c>
      <c r="F16" s="11">
        <v>2200</v>
      </c>
      <c r="G16" s="11">
        <v>25046693</v>
      </c>
    </row>
    <row r="17" spans="1:7" ht="35.700000000000003" customHeight="1" x14ac:dyDescent="0.25">
      <c r="A17" s="3" t="s">
        <v>95</v>
      </c>
      <c r="B17" s="3" t="s">
        <v>97</v>
      </c>
      <c r="C17" s="8">
        <v>6.7</v>
      </c>
      <c r="D17" s="18">
        <v>6.6</v>
      </c>
      <c r="E17" s="18">
        <v>6.8</v>
      </c>
      <c r="F17" s="11">
        <v>2230</v>
      </c>
      <c r="G17" s="11">
        <v>26769629</v>
      </c>
    </row>
    <row r="18" spans="1:7" ht="35.700000000000003" customHeight="1" x14ac:dyDescent="0.25">
      <c r="A18" s="3" t="s">
        <v>45</v>
      </c>
      <c r="B18" s="3" t="s">
        <v>88</v>
      </c>
      <c r="C18" s="8">
        <v>6.9</v>
      </c>
      <c r="D18" s="18">
        <v>6.8</v>
      </c>
      <c r="E18" s="18">
        <v>7</v>
      </c>
      <c r="F18" s="11">
        <v>3860</v>
      </c>
      <c r="G18" s="11">
        <v>42215998</v>
      </c>
    </row>
    <row r="19" spans="1:7" ht="35.700000000000003" customHeight="1" x14ac:dyDescent="0.25">
      <c r="A19" s="3" t="s">
        <v>45</v>
      </c>
      <c r="B19" s="3" t="s">
        <v>89</v>
      </c>
      <c r="C19" s="8">
        <v>4.7</v>
      </c>
      <c r="D19" s="18">
        <v>4.4000000000000004</v>
      </c>
      <c r="E19" s="18">
        <v>5</v>
      </c>
      <c r="F19" s="11">
        <v>570</v>
      </c>
      <c r="G19" s="11">
        <v>9538746</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
  <sheetViews>
    <sheetView topLeftCell="A8" workbookViewId="0">
      <selection activeCell="A8" sqref="A8"/>
    </sheetView>
  </sheetViews>
  <sheetFormatPr defaultColWidth="10.90625" defaultRowHeight="15" x14ac:dyDescent="0.25"/>
  <cols>
    <col min="1" max="1" width="17.81640625" customWidth="1"/>
    <col min="2" max="2" width="23.6328125" customWidth="1"/>
    <col min="3" max="3" width="34.81640625" customWidth="1"/>
    <col min="4" max="8" width="16.81640625" customWidth="1"/>
  </cols>
  <sheetData>
    <row r="1" spans="1:8" ht="21" x14ac:dyDescent="0.4">
      <c r="A1" s="5" t="s">
        <v>161</v>
      </c>
    </row>
    <row r="2" spans="1:8" ht="16.8" x14ac:dyDescent="0.3">
      <c r="A2" s="21" t="s">
        <v>76</v>
      </c>
    </row>
    <row r="3" spans="1:8" x14ac:dyDescent="0.25">
      <c r="A3" t="s">
        <v>37</v>
      </c>
    </row>
    <row r="4" spans="1:8" x14ac:dyDescent="0.25">
      <c r="A4" t="s">
        <v>77</v>
      </c>
    </row>
    <row r="5" spans="1:8" x14ac:dyDescent="0.25">
      <c r="A5" s="25" t="str">
        <f>HYPERLINK("#'Cover'!A29", "If shorthand is present please refer to the Suppression and shorthand section in the Cover_sheet tab")</f>
        <v>If shorthand is present please refer to the Suppression and shorthand section in the Cover_sheet tab</v>
      </c>
    </row>
    <row r="6" spans="1:8" x14ac:dyDescent="0.25">
      <c r="A6" s="19" t="str">
        <f>HYPERLINK("#'Contents'!A1", "Return to table of contents")</f>
        <v>Return to table of contents</v>
      </c>
    </row>
    <row r="7" spans="1:8" x14ac:dyDescent="0.25">
      <c r="A7" t="s">
        <v>78</v>
      </c>
    </row>
    <row r="8" spans="1:8" ht="15.6" x14ac:dyDescent="0.3">
      <c r="A8" s="20" t="s">
        <v>162</v>
      </c>
    </row>
    <row r="9" spans="1:8" ht="15.6" x14ac:dyDescent="0.3">
      <c r="A9" s="20" t="s">
        <v>1</v>
      </c>
    </row>
    <row r="10" spans="1:8" ht="31.2" x14ac:dyDescent="0.3">
      <c r="A10" s="9" t="s">
        <v>80</v>
      </c>
      <c r="B10" s="9" t="s">
        <v>81</v>
      </c>
      <c r="C10" s="9" t="s">
        <v>82</v>
      </c>
      <c r="D10" s="10" t="s">
        <v>83</v>
      </c>
      <c r="E10" s="10" t="s">
        <v>84</v>
      </c>
      <c r="F10" s="10" t="s">
        <v>85</v>
      </c>
      <c r="G10" s="10" t="s">
        <v>20</v>
      </c>
      <c r="H10" s="10" t="s">
        <v>17</v>
      </c>
    </row>
    <row r="11" spans="1:8" x14ac:dyDescent="0.25">
      <c r="A11" s="3" t="s">
        <v>86</v>
      </c>
      <c r="B11" s="3" t="s">
        <v>87</v>
      </c>
      <c r="C11" s="3" t="s">
        <v>129</v>
      </c>
      <c r="D11" s="8">
        <v>69</v>
      </c>
      <c r="E11" s="17">
        <v>67</v>
      </c>
      <c r="F11" s="17">
        <v>71</v>
      </c>
      <c r="G11" s="11">
        <v>4440</v>
      </c>
      <c r="H11" s="11">
        <v>51816322</v>
      </c>
    </row>
    <row r="12" spans="1:8" ht="35.700000000000003" customHeight="1" x14ac:dyDescent="0.25">
      <c r="A12" s="3" t="s">
        <v>90</v>
      </c>
      <c r="B12" s="3" t="s">
        <v>91</v>
      </c>
      <c r="C12" s="3" t="s">
        <v>129</v>
      </c>
      <c r="D12" s="8">
        <v>75</v>
      </c>
      <c r="E12" s="17">
        <v>69</v>
      </c>
      <c r="F12" s="17">
        <v>81</v>
      </c>
      <c r="G12" s="11">
        <v>250</v>
      </c>
      <c r="H12" s="11">
        <v>9395784</v>
      </c>
    </row>
    <row r="13" spans="1:8" ht="35.700000000000003" customHeight="1" x14ac:dyDescent="0.25">
      <c r="A13" s="3" t="s">
        <v>90</v>
      </c>
      <c r="B13" s="3" t="s">
        <v>92</v>
      </c>
      <c r="C13" s="3" t="s">
        <v>129</v>
      </c>
      <c r="D13" s="8">
        <v>69</v>
      </c>
      <c r="E13" s="17">
        <v>65</v>
      </c>
      <c r="F13" s="17">
        <v>73</v>
      </c>
      <c r="G13" s="11">
        <v>660</v>
      </c>
      <c r="H13" s="11">
        <v>17836822</v>
      </c>
    </row>
    <row r="14" spans="1:8" ht="35.700000000000003" customHeight="1" x14ac:dyDescent="0.25">
      <c r="A14" s="3" t="s">
        <v>90</v>
      </c>
      <c r="B14" s="3" t="s">
        <v>93</v>
      </c>
      <c r="C14" s="3" t="s">
        <v>129</v>
      </c>
      <c r="D14" s="8">
        <v>67</v>
      </c>
      <c r="E14" s="17">
        <v>64</v>
      </c>
      <c r="F14" s="17">
        <v>70</v>
      </c>
      <c r="G14" s="11">
        <v>1660</v>
      </c>
      <c r="H14" s="11">
        <v>15969284</v>
      </c>
    </row>
    <row r="15" spans="1:8" ht="35.700000000000003" customHeight="1" x14ac:dyDescent="0.25">
      <c r="A15" s="3" t="s">
        <v>90</v>
      </c>
      <c r="B15" s="3" t="s">
        <v>94</v>
      </c>
      <c r="C15" s="3" t="s">
        <v>129</v>
      </c>
      <c r="D15" s="8">
        <v>66</v>
      </c>
      <c r="E15" s="17">
        <v>63</v>
      </c>
      <c r="F15" s="17">
        <v>68</v>
      </c>
      <c r="G15" s="11">
        <v>1870</v>
      </c>
      <c r="H15" s="11">
        <v>8614432</v>
      </c>
    </row>
    <row r="16" spans="1:8" ht="35.700000000000003" customHeight="1" x14ac:dyDescent="0.25">
      <c r="A16" s="3" t="s">
        <v>95</v>
      </c>
      <c r="B16" s="3" t="s">
        <v>96</v>
      </c>
      <c r="C16" s="3" t="s">
        <v>129</v>
      </c>
      <c r="D16" s="8">
        <v>66</v>
      </c>
      <c r="E16" s="17">
        <v>62</v>
      </c>
      <c r="F16" s="17">
        <v>69</v>
      </c>
      <c r="G16" s="11">
        <v>2200</v>
      </c>
      <c r="H16" s="11">
        <v>25046693</v>
      </c>
    </row>
    <row r="17" spans="1:8" ht="35.700000000000003" customHeight="1" x14ac:dyDescent="0.25">
      <c r="A17" s="3" t="s">
        <v>95</v>
      </c>
      <c r="B17" s="3" t="s">
        <v>97</v>
      </c>
      <c r="C17" s="3" t="s">
        <v>129</v>
      </c>
      <c r="D17" s="8">
        <v>72</v>
      </c>
      <c r="E17" s="17">
        <v>69</v>
      </c>
      <c r="F17" s="17">
        <v>75</v>
      </c>
      <c r="G17" s="11">
        <v>2230</v>
      </c>
      <c r="H17" s="11">
        <v>26769629</v>
      </c>
    </row>
    <row r="18" spans="1:8" ht="35.700000000000003" customHeight="1" x14ac:dyDescent="0.25">
      <c r="A18" s="3" t="s">
        <v>45</v>
      </c>
      <c r="B18" s="3" t="s">
        <v>88</v>
      </c>
      <c r="C18" s="3" t="s">
        <v>129</v>
      </c>
      <c r="D18" s="8">
        <v>76</v>
      </c>
      <c r="E18" s="17">
        <v>74</v>
      </c>
      <c r="F18" s="17">
        <v>78</v>
      </c>
      <c r="G18" s="11">
        <v>3860</v>
      </c>
      <c r="H18" s="11">
        <v>42215998</v>
      </c>
    </row>
    <row r="19" spans="1:8" ht="35.700000000000003" customHeight="1" x14ac:dyDescent="0.25">
      <c r="A19" s="3" t="s">
        <v>45</v>
      </c>
      <c r="B19" s="3" t="s">
        <v>89</v>
      </c>
      <c r="C19" s="3" t="s">
        <v>129</v>
      </c>
      <c r="D19" s="8">
        <v>37</v>
      </c>
      <c r="E19" s="17">
        <v>32</v>
      </c>
      <c r="F19" s="17">
        <v>43</v>
      </c>
      <c r="G19" s="11">
        <v>570</v>
      </c>
      <c r="H19" s="11">
        <v>9538746</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2"/>
  <sheetViews>
    <sheetView workbookViewId="0"/>
  </sheetViews>
  <sheetFormatPr defaultColWidth="10.90625" defaultRowHeight="15" x14ac:dyDescent="0.25"/>
  <cols>
    <col min="1" max="1" width="17.81640625" customWidth="1"/>
    <col min="2" max="2" width="23.6328125" customWidth="1"/>
    <col min="3" max="3" width="34.81640625" customWidth="1"/>
    <col min="4" max="9" width="16.81640625" customWidth="1"/>
  </cols>
  <sheetData>
    <row r="1" spans="1:9" ht="21" x14ac:dyDescent="0.4">
      <c r="A1" s="5" t="s">
        <v>163</v>
      </c>
    </row>
    <row r="2" spans="1:9" ht="16.8" x14ac:dyDescent="0.3">
      <c r="A2" s="21" t="s">
        <v>76</v>
      </c>
    </row>
    <row r="3" spans="1:9" x14ac:dyDescent="0.25">
      <c r="A3" t="s">
        <v>37</v>
      </c>
    </row>
    <row r="4" spans="1:9" x14ac:dyDescent="0.25">
      <c r="A4" t="s">
        <v>77</v>
      </c>
    </row>
    <row r="5" spans="1:9" x14ac:dyDescent="0.25">
      <c r="A5" t="s">
        <v>131</v>
      </c>
    </row>
    <row r="6" spans="1:9" x14ac:dyDescent="0.25">
      <c r="A6" s="25" t="str">
        <f>HYPERLINK("#'Cover'!A29", "If shorthand is present please refer to the Suppression and shorthand section in the Cover_sheet tab")</f>
        <v>If shorthand is present please refer to the Suppression and shorthand section in the Cover_sheet tab</v>
      </c>
    </row>
    <row r="7" spans="1:9" x14ac:dyDescent="0.25">
      <c r="A7" s="19" t="str">
        <f>HYPERLINK("#'Contents'!A1", "Return to table of contents")</f>
        <v>Return to table of contents</v>
      </c>
    </row>
    <row r="8" spans="1:9" x14ac:dyDescent="0.25">
      <c r="A8" t="s">
        <v>78</v>
      </c>
    </row>
    <row r="9" spans="1:9" ht="15.6" x14ac:dyDescent="0.3">
      <c r="A9" s="20" t="s">
        <v>164</v>
      </c>
    </row>
    <row r="10" spans="1:9" ht="15.6" x14ac:dyDescent="0.3">
      <c r="A10" s="20" t="s">
        <v>1</v>
      </c>
    </row>
    <row r="11" spans="1:9" ht="31.2" x14ac:dyDescent="0.3">
      <c r="A11" s="9" t="s">
        <v>80</v>
      </c>
      <c r="B11" s="9" t="s">
        <v>81</v>
      </c>
      <c r="C11" s="9" t="s">
        <v>82</v>
      </c>
      <c r="D11" s="10" t="s">
        <v>83</v>
      </c>
      <c r="E11" s="10" t="s">
        <v>84</v>
      </c>
      <c r="F11" s="10" t="s">
        <v>85</v>
      </c>
      <c r="G11" s="10" t="s">
        <v>20</v>
      </c>
      <c r="H11" s="10" t="s">
        <v>17</v>
      </c>
      <c r="I11" s="9" t="s">
        <v>43</v>
      </c>
    </row>
    <row r="12" spans="1:9" x14ac:dyDescent="0.25">
      <c r="A12" s="3" t="s">
        <v>86</v>
      </c>
      <c r="B12" s="3" t="s">
        <v>87</v>
      </c>
      <c r="C12" s="3" t="s">
        <v>165</v>
      </c>
      <c r="D12" s="17">
        <v>7</v>
      </c>
      <c r="E12" s="17">
        <v>6</v>
      </c>
      <c r="F12" s="17">
        <v>8</v>
      </c>
      <c r="G12" s="11">
        <v>4620</v>
      </c>
      <c r="H12" s="11">
        <v>53966767</v>
      </c>
      <c r="I12" s="3"/>
    </row>
    <row r="13" spans="1:9" x14ac:dyDescent="0.25">
      <c r="A13" s="3" t="s">
        <v>86</v>
      </c>
      <c r="B13" s="3" t="s">
        <v>87</v>
      </c>
      <c r="C13" s="3" t="s">
        <v>166</v>
      </c>
      <c r="D13" s="17">
        <v>16</v>
      </c>
      <c r="E13" s="17">
        <v>15</v>
      </c>
      <c r="F13" s="17">
        <v>18</v>
      </c>
      <c r="G13" s="11">
        <v>4620</v>
      </c>
      <c r="H13" s="11">
        <v>53966767</v>
      </c>
      <c r="I13" s="3"/>
    </row>
    <row r="14" spans="1:9" x14ac:dyDescent="0.25">
      <c r="A14" s="3" t="s">
        <v>86</v>
      </c>
      <c r="B14" s="3" t="s">
        <v>87</v>
      </c>
      <c r="C14" s="3" t="s">
        <v>167</v>
      </c>
      <c r="D14" s="17">
        <v>26</v>
      </c>
      <c r="E14" s="17">
        <v>24</v>
      </c>
      <c r="F14" s="17">
        <v>28</v>
      </c>
      <c r="G14" s="11">
        <v>4620</v>
      </c>
      <c r="H14" s="11">
        <v>53966767</v>
      </c>
      <c r="I14" s="3"/>
    </row>
    <row r="15" spans="1:9" x14ac:dyDescent="0.25">
      <c r="A15" s="3" t="s">
        <v>86</v>
      </c>
      <c r="B15" s="3" t="s">
        <v>87</v>
      </c>
      <c r="C15" s="3" t="s">
        <v>168</v>
      </c>
      <c r="D15" s="17">
        <v>30</v>
      </c>
      <c r="E15" s="17">
        <v>28</v>
      </c>
      <c r="F15" s="17">
        <v>32</v>
      </c>
      <c r="G15" s="11">
        <v>4620</v>
      </c>
      <c r="H15" s="11">
        <v>53966767</v>
      </c>
      <c r="I15" s="3"/>
    </row>
    <row r="16" spans="1:9" x14ac:dyDescent="0.25">
      <c r="A16" s="3" t="s">
        <v>86</v>
      </c>
      <c r="B16" s="3" t="s">
        <v>87</v>
      </c>
      <c r="C16" s="3" t="s">
        <v>169</v>
      </c>
      <c r="D16" s="17">
        <v>18</v>
      </c>
      <c r="E16" s="17">
        <v>16</v>
      </c>
      <c r="F16" s="17">
        <v>20</v>
      </c>
      <c r="G16" s="11">
        <v>4620</v>
      </c>
      <c r="H16" s="11">
        <v>53966767</v>
      </c>
      <c r="I16" s="3"/>
    </row>
    <row r="17" spans="1:9" x14ac:dyDescent="0.25">
      <c r="A17" s="3" t="s">
        <v>86</v>
      </c>
      <c r="B17" s="3" t="s">
        <v>87</v>
      </c>
      <c r="C17" s="3" t="s">
        <v>170</v>
      </c>
      <c r="D17" s="17">
        <v>1</v>
      </c>
      <c r="E17" s="17">
        <v>0</v>
      </c>
      <c r="F17" s="17">
        <v>1</v>
      </c>
      <c r="G17" s="11">
        <v>4620</v>
      </c>
      <c r="H17" s="11">
        <v>53966767</v>
      </c>
      <c r="I17" s="3"/>
    </row>
    <row r="18" spans="1:9" x14ac:dyDescent="0.25">
      <c r="A18" s="3" t="s">
        <v>86</v>
      </c>
      <c r="B18" s="3" t="s">
        <v>87</v>
      </c>
      <c r="C18" s="3" t="s">
        <v>171</v>
      </c>
      <c r="D18" s="17">
        <v>1</v>
      </c>
      <c r="E18" s="17">
        <v>1</v>
      </c>
      <c r="F18" s="17">
        <v>2</v>
      </c>
      <c r="G18" s="11">
        <v>4620</v>
      </c>
      <c r="H18" s="11">
        <v>53966767</v>
      </c>
      <c r="I18" s="3"/>
    </row>
    <row r="19" spans="1:9" x14ac:dyDescent="0.25">
      <c r="A19" s="3" t="s">
        <v>86</v>
      </c>
      <c r="B19" s="3" t="s">
        <v>87</v>
      </c>
      <c r="C19" s="3" t="s">
        <v>172</v>
      </c>
      <c r="D19" s="17">
        <v>24</v>
      </c>
      <c r="E19" s="17">
        <v>22</v>
      </c>
      <c r="F19" s="17">
        <v>25</v>
      </c>
      <c r="G19" s="11">
        <v>4620</v>
      </c>
      <c r="H19" s="11">
        <v>53966767</v>
      </c>
      <c r="I19" s="3" t="s">
        <v>139</v>
      </c>
    </row>
    <row r="20" spans="1:9" x14ac:dyDescent="0.25">
      <c r="A20" s="3" t="s">
        <v>86</v>
      </c>
      <c r="B20" s="3" t="s">
        <v>87</v>
      </c>
      <c r="C20" s="3" t="s">
        <v>173</v>
      </c>
      <c r="D20" s="17">
        <v>48</v>
      </c>
      <c r="E20" s="17">
        <v>46</v>
      </c>
      <c r="F20" s="17">
        <v>50</v>
      </c>
      <c r="G20" s="11">
        <v>4620</v>
      </c>
      <c r="H20" s="11">
        <v>53966767</v>
      </c>
      <c r="I20" s="3" t="s">
        <v>139</v>
      </c>
    </row>
    <row r="21" spans="1:9" ht="35.700000000000003" customHeight="1" x14ac:dyDescent="0.25">
      <c r="A21" s="3" t="s">
        <v>90</v>
      </c>
      <c r="B21" s="3" t="s">
        <v>91</v>
      </c>
      <c r="C21" s="3" t="s">
        <v>165</v>
      </c>
      <c r="D21" s="17">
        <v>6</v>
      </c>
      <c r="E21" s="17">
        <v>3</v>
      </c>
      <c r="F21" s="17">
        <v>9</v>
      </c>
      <c r="G21" s="11">
        <v>260</v>
      </c>
      <c r="H21" s="11">
        <v>9933335</v>
      </c>
      <c r="I21" s="3"/>
    </row>
    <row r="22" spans="1:9" x14ac:dyDescent="0.25">
      <c r="A22" s="3" t="s">
        <v>90</v>
      </c>
      <c r="B22" s="3" t="s">
        <v>91</v>
      </c>
      <c r="C22" s="3" t="s">
        <v>166</v>
      </c>
      <c r="D22" s="17">
        <v>25</v>
      </c>
      <c r="E22" s="17">
        <v>19</v>
      </c>
      <c r="F22" s="17">
        <v>31</v>
      </c>
      <c r="G22" s="11">
        <v>260</v>
      </c>
      <c r="H22" s="11">
        <v>9933335</v>
      </c>
      <c r="I22" s="3"/>
    </row>
    <row r="23" spans="1:9" x14ac:dyDescent="0.25">
      <c r="A23" s="3" t="s">
        <v>90</v>
      </c>
      <c r="B23" s="3" t="s">
        <v>91</v>
      </c>
      <c r="C23" s="3" t="s">
        <v>167</v>
      </c>
      <c r="D23" s="17">
        <v>35</v>
      </c>
      <c r="E23" s="17">
        <v>29</v>
      </c>
      <c r="F23" s="17">
        <v>42</v>
      </c>
      <c r="G23" s="11">
        <v>260</v>
      </c>
      <c r="H23" s="11">
        <v>9933335</v>
      </c>
      <c r="I23" s="3"/>
    </row>
    <row r="24" spans="1:9" x14ac:dyDescent="0.25">
      <c r="A24" s="3" t="s">
        <v>90</v>
      </c>
      <c r="B24" s="3" t="s">
        <v>91</v>
      </c>
      <c r="C24" s="3" t="s">
        <v>168</v>
      </c>
      <c r="D24" s="17">
        <v>24</v>
      </c>
      <c r="E24" s="17">
        <v>18</v>
      </c>
      <c r="F24" s="17">
        <v>30</v>
      </c>
      <c r="G24" s="11">
        <v>260</v>
      </c>
      <c r="H24" s="11">
        <v>9933335</v>
      </c>
      <c r="I24" s="3"/>
    </row>
    <row r="25" spans="1:9" x14ac:dyDescent="0.25">
      <c r="A25" s="3" t="s">
        <v>90</v>
      </c>
      <c r="B25" s="3" t="s">
        <v>91</v>
      </c>
      <c r="C25" s="3" t="s">
        <v>169</v>
      </c>
      <c r="D25" s="17">
        <v>5</v>
      </c>
      <c r="E25" s="17">
        <v>2</v>
      </c>
      <c r="F25" s="17">
        <v>7</v>
      </c>
      <c r="G25" s="11">
        <v>260</v>
      </c>
      <c r="H25" s="11">
        <v>9933335</v>
      </c>
      <c r="I25" s="3"/>
    </row>
    <row r="26" spans="1:9" x14ac:dyDescent="0.25">
      <c r="A26" s="3" t="s">
        <v>90</v>
      </c>
      <c r="B26" s="3" t="s">
        <v>91</v>
      </c>
      <c r="C26" s="3" t="s">
        <v>170</v>
      </c>
      <c r="D26" s="17">
        <v>1</v>
      </c>
      <c r="E26" s="17">
        <v>0</v>
      </c>
      <c r="F26" s="17">
        <v>3</v>
      </c>
      <c r="G26" s="11">
        <v>260</v>
      </c>
      <c r="H26" s="11">
        <v>9933335</v>
      </c>
      <c r="I26" s="3"/>
    </row>
    <row r="27" spans="1:9" x14ac:dyDescent="0.25">
      <c r="A27" s="3" t="s">
        <v>90</v>
      </c>
      <c r="B27" s="3" t="s">
        <v>91</v>
      </c>
      <c r="C27" s="3" t="s">
        <v>171</v>
      </c>
      <c r="D27" s="17">
        <v>4</v>
      </c>
      <c r="E27" s="17">
        <v>1</v>
      </c>
      <c r="F27" s="17">
        <v>6</v>
      </c>
      <c r="G27" s="11">
        <v>260</v>
      </c>
      <c r="H27" s="11">
        <v>9933335</v>
      </c>
      <c r="I27" s="3"/>
    </row>
    <row r="28" spans="1:9" x14ac:dyDescent="0.25">
      <c r="A28" s="3" t="s">
        <v>90</v>
      </c>
      <c r="B28" s="3" t="s">
        <v>91</v>
      </c>
      <c r="C28" s="3" t="s">
        <v>172</v>
      </c>
      <c r="D28" s="17">
        <v>31</v>
      </c>
      <c r="E28" s="17">
        <v>25</v>
      </c>
      <c r="F28" s="17">
        <v>37</v>
      </c>
      <c r="G28" s="11">
        <v>260</v>
      </c>
      <c r="H28" s="11">
        <v>9933335</v>
      </c>
      <c r="I28" s="3" t="s">
        <v>139</v>
      </c>
    </row>
    <row r="29" spans="1:9" x14ac:dyDescent="0.25">
      <c r="A29" s="3" t="s">
        <v>90</v>
      </c>
      <c r="B29" s="3" t="s">
        <v>91</v>
      </c>
      <c r="C29" s="3" t="s">
        <v>173</v>
      </c>
      <c r="D29" s="17">
        <v>29</v>
      </c>
      <c r="E29" s="17">
        <v>23</v>
      </c>
      <c r="F29" s="17">
        <v>35</v>
      </c>
      <c r="G29" s="11">
        <v>260</v>
      </c>
      <c r="H29" s="11">
        <v>9933335</v>
      </c>
      <c r="I29" s="3" t="s">
        <v>139</v>
      </c>
    </row>
    <row r="30" spans="1:9" ht="35.700000000000003" customHeight="1" x14ac:dyDescent="0.25">
      <c r="A30" s="3" t="s">
        <v>90</v>
      </c>
      <c r="B30" s="3" t="s">
        <v>92</v>
      </c>
      <c r="C30" s="3" t="s">
        <v>165</v>
      </c>
      <c r="D30" s="17">
        <v>9</v>
      </c>
      <c r="E30" s="17">
        <v>7</v>
      </c>
      <c r="F30" s="17">
        <v>12</v>
      </c>
      <c r="G30" s="11">
        <v>670</v>
      </c>
      <c r="H30" s="11">
        <v>18148721</v>
      </c>
      <c r="I30" s="3"/>
    </row>
    <row r="31" spans="1:9" x14ac:dyDescent="0.25">
      <c r="A31" s="3" t="s">
        <v>90</v>
      </c>
      <c r="B31" s="3" t="s">
        <v>92</v>
      </c>
      <c r="C31" s="3" t="s">
        <v>166</v>
      </c>
      <c r="D31" s="17">
        <v>16</v>
      </c>
      <c r="E31" s="17">
        <v>13</v>
      </c>
      <c r="F31" s="17">
        <v>20</v>
      </c>
      <c r="G31" s="11">
        <v>670</v>
      </c>
      <c r="H31" s="11">
        <v>18148721</v>
      </c>
      <c r="I31" s="3"/>
    </row>
    <row r="32" spans="1:9" x14ac:dyDescent="0.25">
      <c r="A32" s="3" t="s">
        <v>90</v>
      </c>
      <c r="B32" s="3" t="s">
        <v>92</v>
      </c>
      <c r="C32" s="3" t="s">
        <v>167</v>
      </c>
      <c r="D32" s="17">
        <v>27</v>
      </c>
      <c r="E32" s="17">
        <v>23</v>
      </c>
      <c r="F32" s="17">
        <v>31</v>
      </c>
      <c r="G32" s="11">
        <v>670</v>
      </c>
      <c r="H32" s="11">
        <v>18148721</v>
      </c>
      <c r="I32" s="3"/>
    </row>
    <row r="33" spans="1:9" x14ac:dyDescent="0.25">
      <c r="A33" s="3" t="s">
        <v>90</v>
      </c>
      <c r="B33" s="3" t="s">
        <v>92</v>
      </c>
      <c r="C33" s="3" t="s">
        <v>168</v>
      </c>
      <c r="D33" s="17">
        <v>33</v>
      </c>
      <c r="E33" s="17">
        <v>29</v>
      </c>
      <c r="F33" s="17">
        <v>37</v>
      </c>
      <c r="G33" s="11">
        <v>670</v>
      </c>
      <c r="H33" s="11">
        <v>18148721</v>
      </c>
      <c r="I33" s="3"/>
    </row>
    <row r="34" spans="1:9" x14ac:dyDescent="0.25">
      <c r="A34" s="3" t="s">
        <v>90</v>
      </c>
      <c r="B34" s="3" t="s">
        <v>92</v>
      </c>
      <c r="C34" s="3" t="s">
        <v>169</v>
      </c>
      <c r="D34" s="17">
        <v>13</v>
      </c>
      <c r="E34" s="17">
        <v>10</v>
      </c>
      <c r="F34" s="17">
        <v>16</v>
      </c>
      <c r="G34" s="11">
        <v>670</v>
      </c>
      <c r="H34" s="11">
        <v>18148721</v>
      </c>
      <c r="I34" s="3"/>
    </row>
    <row r="35" spans="1:9" x14ac:dyDescent="0.25">
      <c r="A35" s="3" t="s">
        <v>90</v>
      </c>
      <c r="B35" s="3" t="s">
        <v>92</v>
      </c>
      <c r="C35" s="3" t="s">
        <v>170</v>
      </c>
      <c r="D35" s="17" t="s">
        <v>144</v>
      </c>
      <c r="E35" s="17" t="s">
        <v>144</v>
      </c>
      <c r="F35" s="17" t="s">
        <v>144</v>
      </c>
      <c r="G35" s="11">
        <v>670</v>
      </c>
      <c r="H35" s="11">
        <v>18148721</v>
      </c>
      <c r="I35" s="3"/>
    </row>
    <row r="36" spans="1:9" x14ac:dyDescent="0.25">
      <c r="A36" s="3" t="s">
        <v>90</v>
      </c>
      <c r="B36" s="3" t="s">
        <v>92</v>
      </c>
      <c r="C36" s="3" t="s">
        <v>171</v>
      </c>
      <c r="D36" s="17">
        <v>1</v>
      </c>
      <c r="E36" s="17">
        <v>0</v>
      </c>
      <c r="F36" s="17">
        <v>2</v>
      </c>
      <c r="G36" s="11">
        <v>670</v>
      </c>
      <c r="H36" s="11">
        <v>18148721</v>
      </c>
      <c r="I36" s="3"/>
    </row>
    <row r="37" spans="1:9" x14ac:dyDescent="0.25">
      <c r="A37" s="3" t="s">
        <v>90</v>
      </c>
      <c r="B37" s="3" t="s">
        <v>92</v>
      </c>
      <c r="C37" s="3" t="s">
        <v>172</v>
      </c>
      <c r="D37" s="17">
        <v>25</v>
      </c>
      <c r="E37" s="17">
        <v>22</v>
      </c>
      <c r="F37" s="17">
        <v>29</v>
      </c>
      <c r="G37" s="11">
        <v>670</v>
      </c>
      <c r="H37" s="11">
        <v>18148721</v>
      </c>
      <c r="I37" s="3" t="s">
        <v>139</v>
      </c>
    </row>
    <row r="38" spans="1:9" x14ac:dyDescent="0.25">
      <c r="A38" s="3" t="s">
        <v>90</v>
      </c>
      <c r="B38" s="3" t="s">
        <v>92</v>
      </c>
      <c r="C38" s="3" t="s">
        <v>173</v>
      </c>
      <c r="D38" s="17">
        <v>46</v>
      </c>
      <c r="E38" s="17">
        <v>41</v>
      </c>
      <c r="F38" s="17">
        <v>51</v>
      </c>
      <c r="G38" s="11">
        <v>670</v>
      </c>
      <c r="H38" s="11">
        <v>18148721</v>
      </c>
      <c r="I38" s="3" t="s">
        <v>139</v>
      </c>
    </row>
    <row r="39" spans="1:9" ht="35.700000000000003" customHeight="1" x14ac:dyDescent="0.25">
      <c r="A39" s="3" t="s">
        <v>90</v>
      </c>
      <c r="B39" s="3" t="s">
        <v>93</v>
      </c>
      <c r="C39" s="3" t="s">
        <v>165</v>
      </c>
      <c r="D39" s="17">
        <v>8</v>
      </c>
      <c r="E39" s="17">
        <v>6</v>
      </c>
      <c r="F39" s="17">
        <v>10</v>
      </c>
      <c r="G39" s="11">
        <v>1720</v>
      </c>
      <c r="H39" s="11">
        <v>16678195</v>
      </c>
      <c r="I39" s="3"/>
    </row>
    <row r="40" spans="1:9" x14ac:dyDescent="0.25">
      <c r="A40" s="3" t="s">
        <v>90</v>
      </c>
      <c r="B40" s="3" t="s">
        <v>93</v>
      </c>
      <c r="C40" s="3" t="s">
        <v>166</v>
      </c>
      <c r="D40" s="17">
        <v>13</v>
      </c>
      <c r="E40" s="17">
        <v>11</v>
      </c>
      <c r="F40" s="17">
        <v>15</v>
      </c>
      <c r="G40" s="11">
        <v>1720</v>
      </c>
      <c r="H40" s="11">
        <v>16678195</v>
      </c>
      <c r="I40" s="3"/>
    </row>
    <row r="41" spans="1:9" x14ac:dyDescent="0.25">
      <c r="A41" s="3" t="s">
        <v>90</v>
      </c>
      <c r="B41" s="3" t="s">
        <v>93</v>
      </c>
      <c r="C41" s="3" t="s">
        <v>167</v>
      </c>
      <c r="D41" s="17">
        <v>23</v>
      </c>
      <c r="E41" s="17">
        <v>20</v>
      </c>
      <c r="F41" s="17">
        <v>25</v>
      </c>
      <c r="G41" s="11">
        <v>1720</v>
      </c>
      <c r="H41" s="11">
        <v>16678195</v>
      </c>
      <c r="I41" s="3"/>
    </row>
    <row r="42" spans="1:9" x14ac:dyDescent="0.25">
      <c r="A42" s="3" t="s">
        <v>90</v>
      </c>
      <c r="B42" s="3" t="s">
        <v>93</v>
      </c>
      <c r="C42" s="3" t="s">
        <v>168</v>
      </c>
      <c r="D42" s="17">
        <v>31</v>
      </c>
      <c r="E42" s="17">
        <v>28</v>
      </c>
      <c r="F42" s="17">
        <v>34</v>
      </c>
      <c r="G42" s="11">
        <v>1720</v>
      </c>
      <c r="H42" s="11">
        <v>16678195</v>
      </c>
      <c r="I42" s="3"/>
    </row>
    <row r="43" spans="1:9" x14ac:dyDescent="0.25">
      <c r="A43" s="3" t="s">
        <v>90</v>
      </c>
      <c r="B43" s="3" t="s">
        <v>93</v>
      </c>
      <c r="C43" s="3" t="s">
        <v>169</v>
      </c>
      <c r="D43" s="17">
        <v>24</v>
      </c>
      <c r="E43" s="17">
        <v>21</v>
      </c>
      <c r="F43" s="17">
        <v>27</v>
      </c>
      <c r="G43" s="11">
        <v>1720</v>
      </c>
      <c r="H43" s="11">
        <v>16678195</v>
      </c>
      <c r="I43" s="3"/>
    </row>
    <row r="44" spans="1:9" x14ac:dyDescent="0.25">
      <c r="A44" s="3" t="s">
        <v>90</v>
      </c>
      <c r="B44" s="3" t="s">
        <v>93</v>
      </c>
      <c r="C44" s="3" t="s">
        <v>170</v>
      </c>
      <c r="D44" s="17" t="s">
        <v>145</v>
      </c>
      <c r="E44" s="17">
        <v>0</v>
      </c>
      <c r="F44" s="17">
        <v>1</v>
      </c>
      <c r="G44" s="11">
        <v>1720</v>
      </c>
      <c r="H44" s="11">
        <v>16678195</v>
      </c>
      <c r="I44" s="3"/>
    </row>
    <row r="45" spans="1:9" x14ac:dyDescent="0.25">
      <c r="A45" s="3" t="s">
        <v>90</v>
      </c>
      <c r="B45" s="3" t="s">
        <v>93</v>
      </c>
      <c r="C45" s="3" t="s">
        <v>171</v>
      </c>
      <c r="D45" s="17">
        <v>1</v>
      </c>
      <c r="E45" s="17">
        <v>0</v>
      </c>
      <c r="F45" s="17">
        <v>1</v>
      </c>
      <c r="G45" s="11">
        <v>1720</v>
      </c>
      <c r="H45" s="11">
        <v>16678195</v>
      </c>
      <c r="I45" s="3"/>
    </row>
    <row r="46" spans="1:9" x14ac:dyDescent="0.25">
      <c r="A46" s="3" t="s">
        <v>90</v>
      </c>
      <c r="B46" s="3" t="s">
        <v>93</v>
      </c>
      <c r="C46" s="3" t="s">
        <v>172</v>
      </c>
      <c r="D46" s="17">
        <v>21</v>
      </c>
      <c r="E46" s="17">
        <v>18</v>
      </c>
      <c r="F46" s="17">
        <v>24</v>
      </c>
      <c r="G46" s="11">
        <v>1720</v>
      </c>
      <c r="H46" s="11">
        <v>16678195</v>
      </c>
      <c r="I46" s="3" t="s">
        <v>139</v>
      </c>
    </row>
    <row r="47" spans="1:9" x14ac:dyDescent="0.25">
      <c r="A47" s="3" t="s">
        <v>90</v>
      </c>
      <c r="B47" s="3" t="s">
        <v>93</v>
      </c>
      <c r="C47" s="3" t="s">
        <v>173</v>
      </c>
      <c r="D47" s="17">
        <v>55</v>
      </c>
      <c r="E47" s="17">
        <v>52</v>
      </c>
      <c r="F47" s="17">
        <v>58</v>
      </c>
      <c r="G47" s="11">
        <v>1720</v>
      </c>
      <c r="H47" s="11">
        <v>16678195</v>
      </c>
      <c r="I47" s="3" t="s">
        <v>139</v>
      </c>
    </row>
    <row r="48" spans="1:9" ht="35.700000000000003" customHeight="1" x14ac:dyDescent="0.25">
      <c r="A48" s="3" t="s">
        <v>90</v>
      </c>
      <c r="B48" s="3" t="s">
        <v>94</v>
      </c>
      <c r="C48" s="3" t="s">
        <v>165</v>
      </c>
      <c r="D48" s="17">
        <v>4</v>
      </c>
      <c r="E48" s="17">
        <v>3</v>
      </c>
      <c r="F48" s="17">
        <v>5</v>
      </c>
      <c r="G48" s="11">
        <v>1970</v>
      </c>
      <c r="H48" s="11">
        <v>9206516</v>
      </c>
      <c r="I48" s="3"/>
    </row>
    <row r="49" spans="1:9" x14ac:dyDescent="0.25">
      <c r="A49" s="3" t="s">
        <v>90</v>
      </c>
      <c r="B49" s="3" t="s">
        <v>94</v>
      </c>
      <c r="C49" s="3" t="s">
        <v>166</v>
      </c>
      <c r="D49" s="17">
        <v>13</v>
      </c>
      <c r="E49" s="17">
        <v>11</v>
      </c>
      <c r="F49" s="17">
        <v>14</v>
      </c>
      <c r="G49" s="11">
        <v>1970</v>
      </c>
      <c r="H49" s="11">
        <v>9206516</v>
      </c>
      <c r="I49" s="3"/>
    </row>
    <row r="50" spans="1:9" x14ac:dyDescent="0.25">
      <c r="A50" s="3" t="s">
        <v>90</v>
      </c>
      <c r="B50" s="3" t="s">
        <v>94</v>
      </c>
      <c r="C50" s="3" t="s">
        <v>167</v>
      </c>
      <c r="D50" s="17">
        <v>22</v>
      </c>
      <c r="E50" s="17">
        <v>20</v>
      </c>
      <c r="F50" s="17">
        <v>24</v>
      </c>
      <c r="G50" s="11">
        <v>1970</v>
      </c>
      <c r="H50" s="11">
        <v>9206516</v>
      </c>
      <c r="I50" s="3"/>
    </row>
    <row r="51" spans="1:9" x14ac:dyDescent="0.25">
      <c r="A51" s="3" t="s">
        <v>90</v>
      </c>
      <c r="B51" s="3" t="s">
        <v>94</v>
      </c>
      <c r="C51" s="3" t="s">
        <v>168</v>
      </c>
      <c r="D51" s="17">
        <v>31</v>
      </c>
      <c r="E51" s="17">
        <v>28</v>
      </c>
      <c r="F51" s="17">
        <v>33</v>
      </c>
      <c r="G51" s="11">
        <v>1970</v>
      </c>
      <c r="H51" s="11">
        <v>9206516</v>
      </c>
      <c r="I51" s="3"/>
    </row>
    <row r="52" spans="1:9" x14ac:dyDescent="0.25">
      <c r="A52" s="3" t="s">
        <v>90</v>
      </c>
      <c r="B52" s="3" t="s">
        <v>94</v>
      </c>
      <c r="C52" s="3" t="s">
        <v>169</v>
      </c>
      <c r="D52" s="17">
        <v>31</v>
      </c>
      <c r="E52" s="17">
        <v>28</v>
      </c>
      <c r="F52" s="17">
        <v>33</v>
      </c>
      <c r="G52" s="11">
        <v>1970</v>
      </c>
      <c r="H52" s="11">
        <v>9206516</v>
      </c>
      <c r="I52" s="3"/>
    </row>
    <row r="53" spans="1:9" x14ac:dyDescent="0.25">
      <c r="A53" s="3" t="s">
        <v>90</v>
      </c>
      <c r="B53" s="3" t="s">
        <v>94</v>
      </c>
      <c r="C53" s="3" t="s">
        <v>170</v>
      </c>
      <c r="D53" s="17" t="s">
        <v>145</v>
      </c>
      <c r="E53" s="17">
        <v>0</v>
      </c>
      <c r="F53" s="17">
        <v>1</v>
      </c>
      <c r="G53" s="11">
        <v>1970</v>
      </c>
      <c r="H53" s="11">
        <v>9206516</v>
      </c>
      <c r="I53" s="3"/>
    </row>
    <row r="54" spans="1:9" x14ac:dyDescent="0.25">
      <c r="A54" s="3" t="s">
        <v>90</v>
      </c>
      <c r="B54" s="3" t="s">
        <v>94</v>
      </c>
      <c r="C54" s="3" t="s">
        <v>171</v>
      </c>
      <c r="D54" s="17" t="s">
        <v>145</v>
      </c>
      <c r="E54" s="17">
        <v>0</v>
      </c>
      <c r="F54" s="17">
        <v>1</v>
      </c>
      <c r="G54" s="11">
        <v>1970</v>
      </c>
      <c r="H54" s="11">
        <v>9206516</v>
      </c>
      <c r="I54" s="3"/>
    </row>
    <row r="55" spans="1:9" x14ac:dyDescent="0.25">
      <c r="A55" s="3" t="s">
        <v>90</v>
      </c>
      <c r="B55" s="3" t="s">
        <v>94</v>
      </c>
      <c r="C55" s="3" t="s">
        <v>172</v>
      </c>
      <c r="D55" s="17">
        <v>16</v>
      </c>
      <c r="E55" s="17">
        <v>14</v>
      </c>
      <c r="F55" s="17">
        <v>18</v>
      </c>
      <c r="G55" s="11">
        <v>1970</v>
      </c>
      <c r="H55" s="11">
        <v>9206516</v>
      </c>
      <c r="I55" s="3" t="s">
        <v>139</v>
      </c>
    </row>
    <row r="56" spans="1:9" x14ac:dyDescent="0.25">
      <c r="A56" s="3" t="s">
        <v>90</v>
      </c>
      <c r="B56" s="3" t="s">
        <v>94</v>
      </c>
      <c r="C56" s="3" t="s">
        <v>173</v>
      </c>
      <c r="D56" s="17">
        <v>61</v>
      </c>
      <c r="E56" s="17">
        <v>59</v>
      </c>
      <c r="F56" s="17">
        <v>64</v>
      </c>
      <c r="G56" s="11">
        <v>1970</v>
      </c>
      <c r="H56" s="11">
        <v>9206516</v>
      </c>
      <c r="I56" s="3" t="s">
        <v>139</v>
      </c>
    </row>
    <row r="57" spans="1:9" ht="35.700000000000003" customHeight="1" x14ac:dyDescent="0.25">
      <c r="A57" s="3" t="s">
        <v>95</v>
      </c>
      <c r="B57" s="3" t="s">
        <v>96</v>
      </c>
      <c r="C57" s="3" t="s">
        <v>165</v>
      </c>
      <c r="D57" s="17">
        <v>7</v>
      </c>
      <c r="E57" s="17">
        <v>5</v>
      </c>
      <c r="F57" s="17">
        <v>9</v>
      </c>
      <c r="G57" s="11">
        <v>2290</v>
      </c>
      <c r="H57" s="11">
        <v>26209102</v>
      </c>
      <c r="I57" s="3"/>
    </row>
    <row r="58" spans="1:9" x14ac:dyDescent="0.25">
      <c r="A58" s="3" t="s">
        <v>95</v>
      </c>
      <c r="B58" s="3" t="s">
        <v>96</v>
      </c>
      <c r="C58" s="3" t="s">
        <v>166</v>
      </c>
      <c r="D58" s="17">
        <v>15</v>
      </c>
      <c r="E58" s="17">
        <v>13</v>
      </c>
      <c r="F58" s="17">
        <v>18</v>
      </c>
      <c r="G58" s="11">
        <v>2290</v>
      </c>
      <c r="H58" s="11">
        <v>26209102</v>
      </c>
      <c r="I58" s="3"/>
    </row>
    <row r="59" spans="1:9" x14ac:dyDescent="0.25">
      <c r="A59" s="3" t="s">
        <v>95</v>
      </c>
      <c r="B59" s="3" t="s">
        <v>96</v>
      </c>
      <c r="C59" s="3" t="s">
        <v>167</v>
      </c>
      <c r="D59" s="17">
        <v>24</v>
      </c>
      <c r="E59" s="17">
        <v>21</v>
      </c>
      <c r="F59" s="17">
        <v>27</v>
      </c>
      <c r="G59" s="11">
        <v>2290</v>
      </c>
      <c r="H59" s="11">
        <v>26209102</v>
      </c>
      <c r="I59" s="3"/>
    </row>
    <row r="60" spans="1:9" x14ac:dyDescent="0.25">
      <c r="A60" s="3" t="s">
        <v>95</v>
      </c>
      <c r="B60" s="3" t="s">
        <v>96</v>
      </c>
      <c r="C60" s="3" t="s">
        <v>168</v>
      </c>
      <c r="D60" s="17">
        <v>30</v>
      </c>
      <c r="E60" s="17">
        <v>27</v>
      </c>
      <c r="F60" s="17">
        <v>33</v>
      </c>
      <c r="G60" s="11">
        <v>2290</v>
      </c>
      <c r="H60" s="11">
        <v>26209102</v>
      </c>
      <c r="I60" s="3"/>
    </row>
    <row r="61" spans="1:9" x14ac:dyDescent="0.25">
      <c r="A61" s="3" t="s">
        <v>95</v>
      </c>
      <c r="B61" s="3" t="s">
        <v>96</v>
      </c>
      <c r="C61" s="3" t="s">
        <v>169</v>
      </c>
      <c r="D61" s="17">
        <v>21</v>
      </c>
      <c r="E61" s="17">
        <v>18</v>
      </c>
      <c r="F61" s="17">
        <v>23</v>
      </c>
      <c r="G61" s="11">
        <v>2290</v>
      </c>
      <c r="H61" s="11">
        <v>26209102</v>
      </c>
      <c r="I61" s="3"/>
    </row>
    <row r="62" spans="1:9" x14ac:dyDescent="0.25">
      <c r="A62" s="3" t="s">
        <v>95</v>
      </c>
      <c r="B62" s="3" t="s">
        <v>96</v>
      </c>
      <c r="C62" s="3" t="s">
        <v>170</v>
      </c>
      <c r="D62" s="17">
        <v>1</v>
      </c>
      <c r="E62" s="17">
        <v>0</v>
      </c>
      <c r="F62" s="17">
        <v>1</v>
      </c>
      <c r="G62" s="11">
        <v>2290</v>
      </c>
      <c r="H62" s="11">
        <v>26209102</v>
      </c>
      <c r="I62" s="3"/>
    </row>
    <row r="63" spans="1:9" x14ac:dyDescent="0.25">
      <c r="A63" s="3" t="s">
        <v>95</v>
      </c>
      <c r="B63" s="3" t="s">
        <v>96</v>
      </c>
      <c r="C63" s="3" t="s">
        <v>171</v>
      </c>
      <c r="D63" s="17">
        <v>2</v>
      </c>
      <c r="E63" s="17">
        <v>1</v>
      </c>
      <c r="F63" s="17">
        <v>3</v>
      </c>
      <c r="G63" s="11">
        <v>2290</v>
      </c>
      <c r="H63" s="11">
        <v>26209102</v>
      </c>
      <c r="I63" s="3"/>
    </row>
    <row r="64" spans="1:9" x14ac:dyDescent="0.25">
      <c r="A64" s="3" t="s">
        <v>95</v>
      </c>
      <c r="B64" s="3" t="s">
        <v>96</v>
      </c>
      <c r="C64" s="3" t="s">
        <v>172</v>
      </c>
      <c r="D64" s="17">
        <v>22</v>
      </c>
      <c r="E64" s="17">
        <v>19</v>
      </c>
      <c r="F64" s="17">
        <v>25</v>
      </c>
      <c r="G64" s="11">
        <v>2290</v>
      </c>
      <c r="H64" s="11">
        <v>26209102</v>
      </c>
      <c r="I64" s="3" t="s">
        <v>139</v>
      </c>
    </row>
    <row r="65" spans="1:9" x14ac:dyDescent="0.25">
      <c r="A65" s="3" t="s">
        <v>95</v>
      </c>
      <c r="B65" s="3" t="s">
        <v>96</v>
      </c>
      <c r="C65" s="3" t="s">
        <v>173</v>
      </c>
      <c r="D65" s="17">
        <v>51</v>
      </c>
      <c r="E65" s="17">
        <v>48</v>
      </c>
      <c r="F65" s="17">
        <v>54</v>
      </c>
      <c r="G65" s="11">
        <v>2290</v>
      </c>
      <c r="H65" s="11">
        <v>26209102</v>
      </c>
      <c r="I65" s="3" t="s">
        <v>139</v>
      </c>
    </row>
    <row r="66" spans="1:9" ht="35.700000000000003" customHeight="1" x14ac:dyDescent="0.25">
      <c r="A66" s="3" t="s">
        <v>95</v>
      </c>
      <c r="B66" s="3" t="s">
        <v>97</v>
      </c>
      <c r="C66" s="3" t="s">
        <v>165</v>
      </c>
      <c r="D66" s="17">
        <v>7</v>
      </c>
      <c r="E66" s="17">
        <v>6</v>
      </c>
      <c r="F66" s="17">
        <v>9</v>
      </c>
      <c r="G66" s="11">
        <v>2330</v>
      </c>
      <c r="H66" s="11">
        <v>27757665</v>
      </c>
      <c r="I66" s="3"/>
    </row>
    <row r="67" spans="1:9" x14ac:dyDescent="0.25">
      <c r="A67" s="3" t="s">
        <v>95</v>
      </c>
      <c r="B67" s="3" t="s">
        <v>97</v>
      </c>
      <c r="C67" s="3" t="s">
        <v>166</v>
      </c>
      <c r="D67" s="17">
        <v>17</v>
      </c>
      <c r="E67" s="17">
        <v>15</v>
      </c>
      <c r="F67" s="17">
        <v>20</v>
      </c>
      <c r="G67" s="11">
        <v>2330</v>
      </c>
      <c r="H67" s="11">
        <v>27757665</v>
      </c>
      <c r="I67" s="3"/>
    </row>
    <row r="68" spans="1:9" x14ac:dyDescent="0.25">
      <c r="A68" s="3" t="s">
        <v>95</v>
      </c>
      <c r="B68" s="3" t="s">
        <v>97</v>
      </c>
      <c r="C68" s="3" t="s">
        <v>167</v>
      </c>
      <c r="D68" s="17">
        <v>29</v>
      </c>
      <c r="E68" s="17">
        <v>26</v>
      </c>
      <c r="F68" s="17">
        <v>31</v>
      </c>
      <c r="G68" s="11">
        <v>2330</v>
      </c>
      <c r="H68" s="11">
        <v>27757665</v>
      </c>
      <c r="I68" s="3"/>
    </row>
    <row r="69" spans="1:9" x14ac:dyDescent="0.25">
      <c r="A69" s="3" t="s">
        <v>95</v>
      </c>
      <c r="B69" s="3" t="s">
        <v>97</v>
      </c>
      <c r="C69" s="3" t="s">
        <v>168</v>
      </c>
      <c r="D69" s="17">
        <v>31</v>
      </c>
      <c r="E69" s="17">
        <v>28</v>
      </c>
      <c r="F69" s="17">
        <v>33</v>
      </c>
      <c r="G69" s="11">
        <v>2330</v>
      </c>
      <c r="H69" s="11">
        <v>27757665</v>
      </c>
      <c r="I69" s="3"/>
    </row>
    <row r="70" spans="1:9" x14ac:dyDescent="0.25">
      <c r="A70" s="3" t="s">
        <v>95</v>
      </c>
      <c r="B70" s="3" t="s">
        <v>97</v>
      </c>
      <c r="C70" s="3" t="s">
        <v>169</v>
      </c>
      <c r="D70" s="17">
        <v>15</v>
      </c>
      <c r="E70" s="17">
        <v>13</v>
      </c>
      <c r="F70" s="17">
        <v>17</v>
      </c>
      <c r="G70" s="11">
        <v>2330</v>
      </c>
      <c r="H70" s="11">
        <v>27757665</v>
      </c>
      <c r="I70" s="3"/>
    </row>
    <row r="71" spans="1:9" x14ac:dyDescent="0.25">
      <c r="A71" s="3" t="s">
        <v>95</v>
      </c>
      <c r="B71" s="3" t="s">
        <v>97</v>
      </c>
      <c r="C71" s="3" t="s">
        <v>170</v>
      </c>
      <c r="D71" s="17" t="s">
        <v>145</v>
      </c>
      <c r="E71" s="17">
        <v>0</v>
      </c>
      <c r="F71" s="17">
        <v>1</v>
      </c>
      <c r="G71" s="11">
        <v>2330</v>
      </c>
      <c r="H71" s="11">
        <v>27757665</v>
      </c>
      <c r="I71" s="3"/>
    </row>
    <row r="72" spans="1:9" x14ac:dyDescent="0.25">
      <c r="A72" s="3" t="s">
        <v>95</v>
      </c>
      <c r="B72" s="3" t="s">
        <v>97</v>
      </c>
      <c r="C72" s="3" t="s">
        <v>171</v>
      </c>
      <c r="D72" s="17">
        <v>1</v>
      </c>
      <c r="E72" s="17">
        <v>0</v>
      </c>
      <c r="F72" s="17">
        <v>1</v>
      </c>
      <c r="G72" s="11">
        <v>2330</v>
      </c>
      <c r="H72" s="11">
        <v>27757665</v>
      </c>
      <c r="I72" s="3"/>
    </row>
    <row r="73" spans="1:9" x14ac:dyDescent="0.25">
      <c r="A73" s="3" t="s">
        <v>95</v>
      </c>
      <c r="B73" s="3" t="s">
        <v>97</v>
      </c>
      <c r="C73" s="3" t="s">
        <v>172</v>
      </c>
      <c r="D73" s="17">
        <v>25</v>
      </c>
      <c r="E73" s="17">
        <v>22</v>
      </c>
      <c r="F73" s="17">
        <v>27</v>
      </c>
      <c r="G73" s="11">
        <v>2330</v>
      </c>
      <c r="H73" s="11">
        <v>27757665</v>
      </c>
      <c r="I73" s="3" t="s">
        <v>139</v>
      </c>
    </row>
    <row r="74" spans="1:9" x14ac:dyDescent="0.25">
      <c r="A74" s="3" t="s">
        <v>95</v>
      </c>
      <c r="B74" s="3" t="s">
        <v>97</v>
      </c>
      <c r="C74" s="3" t="s">
        <v>173</v>
      </c>
      <c r="D74" s="17">
        <v>46</v>
      </c>
      <c r="E74" s="17">
        <v>43</v>
      </c>
      <c r="F74" s="17">
        <v>48</v>
      </c>
      <c r="G74" s="11">
        <v>2330</v>
      </c>
      <c r="H74" s="11">
        <v>27757665</v>
      </c>
      <c r="I74" s="3" t="s">
        <v>139</v>
      </c>
    </row>
    <row r="75" spans="1:9" ht="35.700000000000003" customHeight="1" x14ac:dyDescent="0.25">
      <c r="A75" s="3" t="s">
        <v>45</v>
      </c>
      <c r="B75" s="3" t="s">
        <v>88</v>
      </c>
      <c r="C75" s="3" t="s">
        <v>165</v>
      </c>
      <c r="D75" s="17">
        <v>3</v>
      </c>
      <c r="E75" s="17">
        <v>2</v>
      </c>
      <c r="F75" s="17">
        <v>4</v>
      </c>
      <c r="G75" s="11">
        <v>4010</v>
      </c>
      <c r="H75" s="11">
        <v>43893248</v>
      </c>
      <c r="I75" s="3"/>
    </row>
    <row r="76" spans="1:9" x14ac:dyDescent="0.25">
      <c r="A76" s="3" t="s">
        <v>45</v>
      </c>
      <c r="B76" s="3" t="s">
        <v>88</v>
      </c>
      <c r="C76" s="3" t="s">
        <v>166</v>
      </c>
      <c r="D76" s="17">
        <v>14</v>
      </c>
      <c r="E76" s="17">
        <v>12</v>
      </c>
      <c r="F76" s="17">
        <v>15</v>
      </c>
      <c r="G76" s="11">
        <v>4010</v>
      </c>
      <c r="H76" s="11">
        <v>43893248</v>
      </c>
      <c r="I76" s="3"/>
    </row>
    <row r="77" spans="1:9" x14ac:dyDescent="0.25">
      <c r="A77" s="3" t="s">
        <v>45</v>
      </c>
      <c r="B77" s="3" t="s">
        <v>88</v>
      </c>
      <c r="C77" s="3" t="s">
        <v>167</v>
      </c>
      <c r="D77" s="17">
        <v>26</v>
      </c>
      <c r="E77" s="17">
        <v>24</v>
      </c>
      <c r="F77" s="17">
        <v>29</v>
      </c>
      <c r="G77" s="11">
        <v>4010</v>
      </c>
      <c r="H77" s="11">
        <v>43893248</v>
      </c>
      <c r="I77" s="3"/>
    </row>
    <row r="78" spans="1:9" x14ac:dyDescent="0.25">
      <c r="A78" s="3" t="s">
        <v>45</v>
      </c>
      <c r="B78" s="3" t="s">
        <v>88</v>
      </c>
      <c r="C78" s="3" t="s">
        <v>168</v>
      </c>
      <c r="D78" s="17">
        <v>34</v>
      </c>
      <c r="E78" s="17">
        <v>32</v>
      </c>
      <c r="F78" s="17">
        <v>37</v>
      </c>
      <c r="G78" s="11">
        <v>4010</v>
      </c>
      <c r="H78" s="11">
        <v>43893248</v>
      </c>
      <c r="I78" s="3"/>
    </row>
    <row r="79" spans="1:9" x14ac:dyDescent="0.25">
      <c r="A79" s="3" t="s">
        <v>45</v>
      </c>
      <c r="B79" s="3" t="s">
        <v>88</v>
      </c>
      <c r="C79" s="3" t="s">
        <v>169</v>
      </c>
      <c r="D79" s="17">
        <v>21</v>
      </c>
      <c r="E79" s="17">
        <v>19</v>
      </c>
      <c r="F79" s="17">
        <v>23</v>
      </c>
      <c r="G79" s="11">
        <v>4010</v>
      </c>
      <c r="H79" s="11">
        <v>43893248</v>
      </c>
      <c r="I79" s="3"/>
    </row>
    <row r="80" spans="1:9" x14ac:dyDescent="0.25">
      <c r="A80" s="3" t="s">
        <v>45</v>
      </c>
      <c r="B80" s="3" t="s">
        <v>88</v>
      </c>
      <c r="C80" s="3" t="s">
        <v>170</v>
      </c>
      <c r="D80" s="17">
        <v>1</v>
      </c>
      <c r="E80" s="17">
        <v>0</v>
      </c>
      <c r="F80" s="17">
        <v>1</v>
      </c>
      <c r="G80" s="11">
        <v>4010</v>
      </c>
      <c r="H80" s="11">
        <v>43893248</v>
      </c>
      <c r="I80" s="3"/>
    </row>
    <row r="81" spans="1:9" x14ac:dyDescent="0.25">
      <c r="A81" s="3" t="s">
        <v>45</v>
      </c>
      <c r="B81" s="3" t="s">
        <v>88</v>
      </c>
      <c r="C81" s="3" t="s">
        <v>171</v>
      </c>
      <c r="D81" s="17">
        <v>1</v>
      </c>
      <c r="E81" s="17">
        <v>1</v>
      </c>
      <c r="F81" s="17">
        <v>2</v>
      </c>
      <c r="G81" s="11">
        <v>4010</v>
      </c>
      <c r="H81" s="11">
        <v>43893248</v>
      </c>
      <c r="I81" s="3"/>
    </row>
    <row r="82" spans="1:9" x14ac:dyDescent="0.25">
      <c r="A82" s="3" t="s">
        <v>45</v>
      </c>
      <c r="B82" s="3" t="s">
        <v>88</v>
      </c>
      <c r="C82" s="3" t="s">
        <v>172</v>
      </c>
      <c r="D82" s="17">
        <v>16</v>
      </c>
      <c r="E82" s="17">
        <v>15</v>
      </c>
      <c r="F82" s="17">
        <v>18</v>
      </c>
      <c r="G82" s="11">
        <v>4010</v>
      </c>
      <c r="H82" s="11">
        <v>43893248</v>
      </c>
      <c r="I82" s="3" t="s">
        <v>139</v>
      </c>
    </row>
    <row r="83" spans="1:9" x14ac:dyDescent="0.25">
      <c r="A83" s="3" t="s">
        <v>45</v>
      </c>
      <c r="B83" s="3" t="s">
        <v>88</v>
      </c>
      <c r="C83" s="3" t="s">
        <v>173</v>
      </c>
      <c r="D83" s="17">
        <v>55</v>
      </c>
      <c r="E83" s="17">
        <v>53</v>
      </c>
      <c r="F83" s="17">
        <v>58</v>
      </c>
      <c r="G83" s="11">
        <v>4010</v>
      </c>
      <c r="H83" s="11">
        <v>43893248</v>
      </c>
      <c r="I83" s="3" t="s">
        <v>139</v>
      </c>
    </row>
    <row r="84" spans="1:9" ht="35.700000000000003" customHeight="1" x14ac:dyDescent="0.25">
      <c r="A84" s="3" t="s">
        <v>45</v>
      </c>
      <c r="B84" s="3" t="s">
        <v>89</v>
      </c>
      <c r="C84" s="3" t="s">
        <v>165</v>
      </c>
      <c r="D84" s="17">
        <v>27</v>
      </c>
      <c r="E84" s="17">
        <v>22</v>
      </c>
      <c r="F84" s="17">
        <v>32</v>
      </c>
      <c r="G84" s="11">
        <v>590</v>
      </c>
      <c r="H84" s="11">
        <v>9946444</v>
      </c>
      <c r="I84" s="3"/>
    </row>
    <row r="85" spans="1:9" ht="30" x14ac:dyDescent="0.25">
      <c r="A85" s="3" t="s">
        <v>45</v>
      </c>
      <c r="B85" s="3" t="s">
        <v>89</v>
      </c>
      <c r="C85" s="3" t="s">
        <v>166</v>
      </c>
      <c r="D85" s="17">
        <v>28</v>
      </c>
      <c r="E85" s="17">
        <v>23</v>
      </c>
      <c r="F85" s="17">
        <v>33</v>
      </c>
      <c r="G85" s="11">
        <v>590</v>
      </c>
      <c r="H85" s="11">
        <v>9946444</v>
      </c>
      <c r="I85" s="3"/>
    </row>
    <row r="86" spans="1:9" ht="30" x14ac:dyDescent="0.25">
      <c r="A86" s="3" t="s">
        <v>45</v>
      </c>
      <c r="B86" s="3" t="s">
        <v>89</v>
      </c>
      <c r="C86" s="3" t="s">
        <v>167</v>
      </c>
      <c r="D86" s="17">
        <v>26</v>
      </c>
      <c r="E86" s="17">
        <v>21</v>
      </c>
      <c r="F86" s="17">
        <v>31</v>
      </c>
      <c r="G86" s="11">
        <v>590</v>
      </c>
      <c r="H86" s="11">
        <v>9946444</v>
      </c>
      <c r="I86" s="3"/>
    </row>
    <row r="87" spans="1:9" ht="30" x14ac:dyDescent="0.25">
      <c r="A87" s="3" t="s">
        <v>45</v>
      </c>
      <c r="B87" s="3" t="s">
        <v>89</v>
      </c>
      <c r="C87" s="3" t="s">
        <v>168</v>
      </c>
      <c r="D87" s="17">
        <v>13</v>
      </c>
      <c r="E87" s="17">
        <v>9</v>
      </c>
      <c r="F87" s="17">
        <v>17</v>
      </c>
      <c r="G87" s="11">
        <v>590</v>
      </c>
      <c r="H87" s="11">
        <v>9946444</v>
      </c>
      <c r="I87" s="3"/>
    </row>
    <row r="88" spans="1:9" ht="30" x14ac:dyDescent="0.25">
      <c r="A88" s="3" t="s">
        <v>45</v>
      </c>
      <c r="B88" s="3" t="s">
        <v>89</v>
      </c>
      <c r="C88" s="3" t="s">
        <v>169</v>
      </c>
      <c r="D88" s="17">
        <v>4</v>
      </c>
      <c r="E88" s="17">
        <v>2</v>
      </c>
      <c r="F88" s="17">
        <v>6</v>
      </c>
      <c r="G88" s="11">
        <v>590</v>
      </c>
      <c r="H88" s="11">
        <v>9946444</v>
      </c>
      <c r="I88" s="3"/>
    </row>
    <row r="89" spans="1:9" ht="30" x14ac:dyDescent="0.25">
      <c r="A89" s="3" t="s">
        <v>45</v>
      </c>
      <c r="B89" s="3" t="s">
        <v>89</v>
      </c>
      <c r="C89" s="3" t="s">
        <v>170</v>
      </c>
      <c r="D89" s="17" t="s">
        <v>174</v>
      </c>
      <c r="E89" s="17" t="s">
        <v>174</v>
      </c>
      <c r="F89" s="17" t="s">
        <v>174</v>
      </c>
      <c r="G89" s="11">
        <v>590</v>
      </c>
      <c r="H89" s="11">
        <v>9946444</v>
      </c>
      <c r="I89" s="3"/>
    </row>
    <row r="90" spans="1:9" ht="30" x14ac:dyDescent="0.25">
      <c r="A90" s="3" t="s">
        <v>45</v>
      </c>
      <c r="B90" s="3" t="s">
        <v>89</v>
      </c>
      <c r="C90" s="3" t="s">
        <v>171</v>
      </c>
      <c r="D90" s="17">
        <v>2</v>
      </c>
      <c r="E90" s="17">
        <v>0</v>
      </c>
      <c r="F90" s="17">
        <v>4</v>
      </c>
      <c r="G90" s="11">
        <v>590</v>
      </c>
      <c r="H90" s="11">
        <v>9946444</v>
      </c>
      <c r="I90" s="3"/>
    </row>
    <row r="91" spans="1:9" ht="30" x14ac:dyDescent="0.25">
      <c r="A91" s="3" t="s">
        <v>45</v>
      </c>
      <c r="B91" s="3" t="s">
        <v>89</v>
      </c>
      <c r="C91" s="3" t="s">
        <v>172</v>
      </c>
      <c r="D91" s="17">
        <v>55</v>
      </c>
      <c r="E91" s="17">
        <v>49</v>
      </c>
      <c r="F91" s="17">
        <v>61</v>
      </c>
      <c r="G91" s="11">
        <v>590</v>
      </c>
      <c r="H91" s="11">
        <v>9946444</v>
      </c>
      <c r="I91" s="3" t="s">
        <v>139</v>
      </c>
    </row>
    <row r="92" spans="1:9" ht="30" x14ac:dyDescent="0.25">
      <c r="A92" s="3" t="s">
        <v>45</v>
      </c>
      <c r="B92" s="3" t="s">
        <v>89</v>
      </c>
      <c r="C92" s="3" t="s">
        <v>173</v>
      </c>
      <c r="D92" s="17">
        <v>17</v>
      </c>
      <c r="E92" s="17">
        <v>13</v>
      </c>
      <c r="F92" s="17">
        <v>21</v>
      </c>
      <c r="G92" s="11">
        <v>590</v>
      </c>
      <c r="H92" s="11">
        <v>9946444</v>
      </c>
      <c r="I92" s="3" t="s">
        <v>139</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24793</ReferenceId>
    <Notes xmlns="1e572c8d-6813-4013-8a4a-be491ac59459" xsi:nil="true"/>
    <TrackerId xmlns="1e572c8d-6813-4013-8a4a-be491ac59459">TRCK-3237</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16C704-FE97-4EA8-93C0-E4C67533067C}"/>
</file>

<file path=customXml/itemProps2.xml><?xml version="1.0" encoding="utf-8"?>
<ds:datastoreItem xmlns:ds="http://schemas.openxmlformats.org/officeDocument/2006/customXml" ds:itemID="{680594CE-09D1-4169-9C34-09C93CB41269}">
  <ds:schemaRefs>
    <ds:schemaRef ds:uri="http://schemas.microsoft.com/office/2006/metadata/properties"/>
    <ds:schemaRef ds:uri="http://schemas.microsoft.com/office/infopath/2007/PartnerControls"/>
    <ds:schemaRef ds:uri="eb8c0be1-eb5f-4b09-9aad-2bd5a3d4f116"/>
    <ds:schemaRef ds:uri="8ed663f5-0568-4fc0-bbdf-db3099a6bb79"/>
  </ds:schemaRefs>
</ds:datastoreItem>
</file>

<file path=customXml/itemProps3.xml><?xml version="1.0" encoding="utf-8"?>
<ds:datastoreItem xmlns:ds="http://schemas.openxmlformats.org/officeDocument/2006/customXml" ds:itemID="{2E1FBEE5-34B9-4B11-9F6A-CA975A87F57F}"/>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Contents</vt:lpstr>
      <vt:lpstr>Notes</vt:lpstr>
      <vt:lpstr>Table_1</vt:lpstr>
      <vt:lpstr>Table_2</vt:lpstr>
      <vt:lpstr>Table_3</vt:lpstr>
      <vt:lpstr>Table_4</vt:lpstr>
      <vt:lpstr>Table_5</vt:lpstr>
      <vt:lpstr>Table_6</vt:lpstr>
      <vt:lpstr>Table_7</vt:lpstr>
      <vt:lpstr>Table_8</vt:lpstr>
      <vt:lpstr>Table_9</vt:lpstr>
      <vt:lpstr>Table_10</vt:lpstr>
      <vt:lpstr>Table_11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murphr</dc:creator>
  <cp:keywords/>
  <dc:description/>
  <cp:lastModifiedBy>Dennes, Matt</cp:lastModifiedBy>
  <cp:revision/>
  <dcterms:created xsi:type="dcterms:W3CDTF">2025-05-07T16:53:44Z</dcterms:created>
  <dcterms:modified xsi:type="dcterms:W3CDTF">2025-05-15T13:35:01Z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